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Introduction" sheetId="1" state="visible" r:id="rId3"/>
    <sheet name="Cat1" sheetId="2" state="visible" r:id="rId4"/>
    <sheet name="Cat2" sheetId="3" state="visible" r:id="rId5"/>
    <sheet name="Cat3" sheetId="4" state="visible" r:id="rId6"/>
    <sheet name="Cat4"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<sst xmlns="http://schemas.openxmlformats.org/spreadsheetml/2006/main" count="4095" uniqueCount="1171">
  <si>
    <t xml:space="preserve">ABOUT THIS TASK
This is Task 2 for BOKU mart. It continues from Task 1: the sales log has already been completed with Closing Stock, Buying Cost, Amount Sold, Profit/Loss and Stock Status for September. Your job now is to turn that raw log into something the leadership team can actually scan and present, using Sorting, Tables, Conditional Formatting, PivotTables and Charts.</t>
  </si>
  <si>
    <t xml:space="preserve">Column explanation</t>
  </si>
  <si>
    <t xml:space="preserve">Product ID</t>
  </si>
  <si>
    <t xml:space="preserve">Unique id attached to each product. No two products can have the same ID.</t>
  </si>
  <si>
    <t xml:space="preserve">Product Name</t>
  </si>
  <si>
    <t xml:space="preserve">The name of the item being sold inside the Mart.</t>
  </si>
  <si>
    <t xml:space="preserve">Category</t>
  </si>
  <si>
    <t xml:space="preserve">The category the item falls into (how products are arranged across the supermarket).</t>
  </si>
  <si>
    <t xml:space="preserve">Supplier Name</t>
  </si>
  <si>
    <t xml:space="preserve">The company that supplies the product to the mart.</t>
  </si>
  <si>
    <t xml:space="preserve">Unit Cost</t>
  </si>
  <si>
    <t xml:space="preserve">The amount the company pays to buy 1 unit from the supplier.</t>
  </si>
  <si>
    <t xml:space="preserve">Retail Price</t>
  </si>
  <si>
    <t xml:space="preserve">The amount the mart sells 1 unit for. This is what a walk-in customer pays.</t>
  </si>
  <si>
    <t xml:space="preserve">Opening Stock</t>
  </si>
  <si>
    <t xml:space="preserve">The number of cartons bought at the start of the month from the supplier.</t>
  </si>
  <si>
    <t xml:space="preserve">Units Sold</t>
  </si>
  <si>
    <t xml:space="preserve">The number of cartons sold throughout the month.</t>
  </si>
  <si>
    <t xml:space="preserve">Closing Stock</t>
  </si>
  <si>
    <t xml:space="preserve">The cartons left at the end of the month (Opening Stock - Units Sold). Already filled in from Task 1.</t>
  </si>
  <si>
    <t xml:space="preserve">STOCK STATUS</t>
  </si>
  <si>
    <t xml:space="preserve">LOW-IN-STOCK if Closing Stock &lt; 50, otherwise IN-STOCK. Already filled in from Task 1.</t>
  </si>
  <si>
    <t xml:space="preserve">Buying Cost</t>
  </si>
  <si>
    <t xml:space="preserve">Unit Cost x Opening Stock. Already filled in from Task 1.</t>
  </si>
  <si>
    <t xml:space="preserve">AMOUNT_SOLD_PER_PRODUCT</t>
  </si>
  <si>
    <t xml:space="preserve">Retail Price x Units Sold. Already filled in from Task 1.</t>
  </si>
  <si>
    <t xml:space="preserve">PROFIT/LOSS</t>
  </si>
  <si>
    <t xml:space="preserve">AMOUNT_SOLD_PER_PRODUCT - Buying Cost. Already filled in from Task 1.</t>
  </si>
  <si>
    <t xml:space="preserve">TASKS</t>
  </si>
  <si>
    <t xml:space="preserve">Task ID</t>
  </si>
  <si>
    <t xml:space="preserve">Task Title</t>
  </si>
  <si>
    <t xml:space="preserve">Summary of Task</t>
  </si>
  <si>
    <t xml:space="preserve">Checklist</t>
  </si>
  <si>
    <t xml:space="preserve">Hint</t>
  </si>
  <si>
    <t xml:space="preserve">Task Level</t>
  </si>
  <si>
    <t xml:space="preserve">Instruction</t>
  </si>
  <si>
    <t xml:space="preserve">Task 2</t>
  </si>
  <si>
    <t xml:space="preserve">Sorting, Tables, Conditional Formatting, PivotTables &amp; Charts</t>
  </si>
  <si>
    <t xml:space="preserve">The CEO liked your Task 1 report so much that Boku Mart is expanding. Now that the raw numbers are calculated, the CEO wants the sales log turned into something the leadership team can scan and present at a glance: neatly sorted, formatted as a real Table, colour-coded so problems jump out, and summarized with PivotTables and Charts.</t>
  </si>
  <si>
    <t xml:space="preserve">1. Convert the data range into an official Excel Table and name it SalesData</t>
  </si>
  <si>
    <t xml:space="preserve">None</t>
  </si>
  <si>
    <t xml:space="preserve">Easy</t>
  </si>
  <si>
    <t xml:space="preserve">Answer this in Cat1 sheet</t>
  </si>
  <si>
    <t xml:space="preserve">2. Add a Total Row to the table showing SUM of Units Sold and SUM of Profit/Loss. </t>
  </si>
  <si>
    <t xml:space="preserve">Don’t use the SUM formular like the first task. Use the TOTAL_ROW checkbox in the TABLE DESIGN</t>
  </si>
  <si>
    <t xml:space="preserve">3. Sort the table A-Z by Category, then within each Category sort Profit/Loss highest to lowest</t>
  </si>
  <si>
    <t xml:space="preserve">Data &gt; Sort, use Add Level for the second sort key</t>
  </si>
  <si>
    <t xml:space="preserve">4. Filter the table to show only products where STOCK_STATUS is LOW-IN-STOCK</t>
  </si>
  <si>
    <t xml:space="preserve">Use the AutoFilter dropdown on the STOCK_STATUS column header</t>
  </si>
  <si>
    <t xml:space="preserve">5. Use Conditional Formatting to highlight PROFIT/LOSS: green fill if positive, red fill if negative</t>
  </si>
  <si>
    <t xml:space="preserve">Conditional Formatting &gt; New Rule &gt; Format only cells that contain</t>
  </si>
  <si>
    <t xml:space="preserve">Answer these in CAT 2, 
Copy your table from Cat1 but undo exercise 4. Then change the table name</t>
  </si>
  <si>
    <t xml:space="preserve">6. Add Data Bars to the Units Sold column so sales volume is visible at a glance</t>
  </si>
  <si>
    <t xml:space="preserve">Conditional Formatting &gt; Data Bars</t>
  </si>
  <si>
    <t xml:space="preserve">7. Add a 3-icon traffic light set to Closing Stock: red if under 50, yellow 50-150, green above 150</t>
  </si>
  <si>
    <t xml:space="preserve">Conditional Formatting &gt; Icon Sets &gt; Manage Rules to edit the thresholds</t>
  </si>
  <si>
    <t xml:space="preserve">Medium</t>
  </si>
  <si>
    <t xml:space="preserve">8. Use a Top 10 Items rule to highlight the 10 best-selling products by Units Sold</t>
  </si>
  <si>
    <t xml:space="preserve">Conditional Formatting &gt; Top/Bottom Rules &gt; Top 10 Items</t>
  </si>
  <si>
    <t xml:space="preserve">Answer in CAT3.
Copy your final table in CAT2 and change the table name </t>
  </si>
  <si>
    <t xml:space="preserve">9. Build a PivotTable showing Total Profit/Loss by Category</t>
  </si>
  <si>
    <t xml:space="preserve">Insert &gt; PivotTable. Rows: Category, Values: Sum of PROFIT/LOSS</t>
  </si>
  <si>
    <t xml:space="preserve">Answer this in Cat4
Copy your final table in Cat1 but undo the exercise 4</t>
  </si>
  <si>
    <t xml:space="preserve">10. Build a PivotTable showing Total AMOUNT_SOLD_PER_PRODUCT by Supplier Name, sorted highest to lowest</t>
  </si>
  <si>
    <t xml:space="preserve">Rows: Supplier Name, Values: Sum of AMOUNT_SOLD_PER_PRODUCT, then sort the Values column descending</t>
  </si>
  <si>
    <t xml:space="preserve">11. Add a Slicer for Category so the CEO can filter the Category PivotTable interactively</t>
  </si>
  <si>
    <t xml:space="preserve">Select the PivotTable, then Insert &gt; Slicer</t>
  </si>
  <si>
    <t xml:space="preserve">12. Create a PivotChart (clustered column) from the Profit/Loss by Category PivotTable</t>
  </si>
  <si>
    <t xml:space="preserve">Select the PivotTable, then PivotTable Analyze &gt; PivotChart</t>
  </si>
  <si>
    <t xml:space="preserve">13. Create a pie chart showing each Supplier's % share of total Units Sold</t>
  </si>
  <si>
    <t xml:space="preserve">Build a small summary table first, then Insert &gt; Pie Chart</t>
  </si>
  <si>
    <t xml:space="preserve">STOCK_STATUS</t>
  </si>
  <si>
    <t xml:space="preserve">PROFIT_LOSS</t>
  </si>
  <si>
    <t xml:space="preserve">PRD-1001</t>
  </si>
  <si>
    <t xml:space="preserve">Wine Glasses</t>
  </si>
  <si>
    <t xml:space="preserve">Home &amp; Kitchen</t>
  </si>
  <si>
    <t xml:space="preserve">Heritage Brands</t>
  </si>
  <si>
    <t xml:space="preserve">PRD-1002</t>
  </si>
  <si>
    <t xml:space="preserve">Eye Mask</t>
  </si>
  <si>
    <t xml:space="preserve">Beauty</t>
  </si>
  <si>
    <t xml:space="preserve">Coastal Trading</t>
  </si>
  <si>
    <t xml:space="preserve">PRD-1003</t>
  </si>
  <si>
    <t xml:space="preserve">Resistance Band</t>
  </si>
  <si>
    <t xml:space="preserve">Sports &amp; Outdoors</t>
  </si>
  <si>
    <t xml:space="preserve">National Supply Group</t>
  </si>
  <si>
    <t xml:space="preserve">PRD-1004</t>
  </si>
  <si>
    <t xml:space="preserve">Action Figure</t>
  </si>
  <si>
    <t xml:space="preserve">Toys &amp; Games</t>
  </si>
  <si>
    <t xml:space="preserve">Pacific Wholesale</t>
  </si>
  <si>
    <t xml:space="preserve">PRD-1005</t>
  </si>
  <si>
    <t xml:space="preserve">Serving Tray</t>
  </si>
  <si>
    <t xml:space="preserve">PRD-1006</t>
  </si>
  <si>
    <t xml:space="preserve">Dried Fruit</t>
  </si>
  <si>
    <t xml:space="preserve">Grocery</t>
  </si>
  <si>
    <t xml:space="preserve">PRD-1007</t>
  </si>
  <si>
    <t xml:space="preserve">Dish Soap</t>
  </si>
  <si>
    <t xml:space="preserve">PRD-1008</t>
  </si>
  <si>
    <t xml:space="preserve">Hiking Socks</t>
  </si>
  <si>
    <t xml:space="preserve">PRD-1009</t>
  </si>
  <si>
    <t xml:space="preserve">Summit Wholesale Inc</t>
  </si>
  <si>
    <t xml:space="preserve">PRD-1010</t>
  </si>
  <si>
    <t xml:space="preserve">Yoga Block</t>
  </si>
  <si>
    <t xml:space="preserve">Premier Merchandise</t>
  </si>
  <si>
    <t xml:space="preserve">PRD-1011</t>
  </si>
  <si>
    <t xml:space="preserve">Kitchen Towels</t>
  </si>
  <si>
    <t xml:space="preserve">PRD-1012</t>
  </si>
  <si>
    <t xml:space="preserve">Sticky Notes</t>
  </si>
  <si>
    <t xml:space="preserve">Office Supplies</t>
  </si>
  <si>
    <t xml:space="preserve">AllGoods Supply Co</t>
  </si>
  <si>
    <t xml:space="preserve">PRD-1013</t>
  </si>
  <si>
    <t xml:space="preserve">Olive Oil</t>
  </si>
  <si>
    <t xml:space="preserve">PRD-1014</t>
  </si>
  <si>
    <t xml:space="preserve">Canvas Belt</t>
  </si>
  <si>
    <t xml:space="preserve">Clothing</t>
  </si>
  <si>
    <t xml:space="preserve">United Imports</t>
  </si>
  <si>
    <t xml:space="preserve">PRD-1015</t>
  </si>
  <si>
    <t xml:space="preserve">Bike Light</t>
  </si>
  <si>
    <t xml:space="preserve">PRD-1016</t>
  </si>
  <si>
    <t xml:space="preserve">Face Wash</t>
  </si>
  <si>
    <t xml:space="preserve">PRD-1017</t>
  </si>
  <si>
    <t xml:space="preserve">Desk Organizer</t>
  </si>
  <si>
    <t xml:space="preserve">PRD-1018</t>
  </si>
  <si>
    <t xml:space="preserve">Utensil Set</t>
  </si>
  <si>
    <t xml:space="preserve">PRD-1019</t>
  </si>
  <si>
    <t xml:space="preserve">Deodorant</t>
  </si>
  <si>
    <t xml:space="preserve">PRD-1020</t>
  </si>
  <si>
    <t xml:space="preserve">Dry Shampoo</t>
  </si>
  <si>
    <t xml:space="preserve">PRD-1021</t>
  </si>
  <si>
    <t xml:space="preserve">PRD-1022</t>
  </si>
  <si>
    <t xml:space="preserve">Water Bottle</t>
  </si>
  <si>
    <t xml:space="preserve">PRD-1023</t>
  </si>
  <si>
    <t xml:space="preserve">PRD-1024</t>
  </si>
  <si>
    <t xml:space="preserve">Bubble Kit</t>
  </si>
  <si>
    <t xml:space="preserve">PRD-1025</t>
  </si>
  <si>
    <t xml:space="preserve">Golf Tees</t>
  </si>
  <si>
    <t xml:space="preserve">PRD-1026</t>
  </si>
  <si>
    <t xml:space="preserve">Coloring Set</t>
  </si>
  <si>
    <t xml:space="preserve">Global Source Direct</t>
  </si>
  <si>
    <t xml:space="preserve">PRD-1027</t>
  </si>
  <si>
    <t xml:space="preserve">Cutting Board</t>
  </si>
  <si>
    <t xml:space="preserve">PRD-1028</t>
  </si>
  <si>
    <t xml:space="preserve">Tape Dispenser</t>
  </si>
  <si>
    <t xml:space="preserve">PRD-1029</t>
  </si>
  <si>
    <t xml:space="preserve">Stapler</t>
  </si>
  <si>
    <t xml:space="preserve">PRD-1030</t>
  </si>
  <si>
    <t xml:space="preserve">Slime Kit</t>
  </si>
  <si>
    <t xml:space="preserve">PRD-1031</t>
  </si>
  <si>
    <t xml:space="preserve">HDMI Cable</t>
  </si>
  <si>
    <t xml:space="preserve">Electronics</t>
  </si>
  <si>
    <t xml:space="preserve">PRD-1032</t>
  </si>
  <si>
    <t xml:space="preserve">Bluetooth Adapter</t>
  </si>
  <si>
    <t xml:space="preserve">PRD-1033</t>
  </si>
  <si>
    <t xml:space="preserve">Plush Toy</t>
  </si>
  <si>
    <t xml:space="preserve">PRD-1034</t>
  </si>
  <si>
    <t xml:space="preserve">Rice Crackers</t>
  </si>
  <si>
    <t xml:space="preserve">PRD-1035</t>
  </si>
  <si>
    <t xml:space="preserve">PRD-1036</t>
  </si>
  <si>
    <t xml:space="preserve">Running Socks</t>
  </si>
  <si>
    <t xml:space="preserve">PRD-1037</t>
  </si>
  <si>
    <t xml:space="preserve">Instant Oatmeal</t>
  </si>
  <si>
    <t xml:space="preserve">Metro Distributors</t>
  </si>
  <si>
    <t xml:space="preserve">PRD-1038</t>
  </si>
  <si>
    <t xml:space="preserve">Linen Shorts</t>
  </si>
  <si>
    <t xml:space="preserve">PRD-1039</t>
  </si>
  <si>
    <t xml:space="preserve">Green Tea Bags</t>
  </si>
  <si>
    <t xml:space="preserve">PRD-1040</t>
  </si>
  <si>
    <t xml:space="preserve">Trail Mix</t>
  </si>
  <si>
    <t xml:space="preserve">PRD-1041</t>
  </si>
  <si>
    <t xml:space="preserve">PRD-1042</t>
  </si>
  <si>
    <t xml:space="preserve">PRD-1043</t>
  </si>
  <si>
    <t xml:space="preserve">Puzzle 500pc</t>
  </si>
  <si>
    <t xml:space="preserve">PRD-1044</t>
  </si>
  <si>
    <t xml:space="preserve">PRD-1045</t>
  </si>
  <si>
    <t xml:space="preserve">PRD-1046</t>
  </si>
  <si>
    <t xml:space="preserve">Basic T-Shirt</t>
  </si>
  <si>
    <t xml:space="preserve">PRD-1047</t>
  </si>
  <si>
    <t xml:space="preserve">Whistle</t>
  </si>
  <si>
    <t xml:space="preserve">PRD-1048</t>
  </si>
  <si>
    <t xml:space="preserve">PRD-1049</t>
  </si>
  <si>
    <t xml:space="preserve">Canned Soup</t>
  </si>
  <si>
    <t xml:space="preserve">PRD-1050</t>
  </si>
  <si>
    <t xml:space="preserve">PRD-1051</t>
  </si>
  <si>
    <t xml:space="preserve">PRD-1052</t>
  </si>
  <si>
    <t xml:space="preserve">PRD-1053</t>
  </si>
  <si>
    <t xml:space="preserve">Screen Protector</t>
  </si>
  <si>
    <t xml:space="preserve">PRD-1054</t>
  </si>
  <si>
    <t xml:space="preserve">Swim Cap</t>
  </si>
  <si>
    <t xml:space="preserve">PRD-1055</t>
  </si>
  <si>
    <t xml:space="preserve">Polo Shirt</t>
  </si>
  <si>
    <t xml:space="preserve">PRD-1056</t>
  </si>
  <si>
    <t xml:space="preserve">PRD-1057</t>
  </si>
  <si>
    <t xml:space="preserve">Webcam Cover</t>
  </si>
  <si>
    <t xml:space="preserve">PRD-1058</t>
  </si>
  <si>
    <t xml:space="preserve">PRD-1059</t>
  </si>
  <si>
    <t xml:space="preserve">PRD-1060</t>
  </si>
  <si>
    <t xml:space="preserve">Body Mist</t>
  </si>
  <si>
    <t xml:space="preserve">PRD-1061</t>
  </si>
  <si>
    <t xml:space="preserve">PRD-1062</t>
  </si>
  <si>
    <t xml:space="preserve">PRD-1063</t>
  </si>
  <si>
    <t xml:space="preserve">PRD-1064</t>
  </si>
  <si>
    <t xml:space="preserve">PRD-1065</t>
  </si>
  <si>
    <t xml:space="preserve">File Folders</t>
  </si>
  <si>
    <t xml:space="preserve">PRD-1066</t>
  </si>
  <si>
    <t xml:space="preserve">PRD-1067</t>
  </si>
  <si>
    <t xml:space="preserve">Wireless Earbuds</t>
  </si>
  <si>
    <t xml:space="preserve">PRD-1068</t>
  </si>
  <si>
    <t xml:space="preserve">PRD-1069</t>
  </si>
  <si>
    <t xml:space="preserve">Granola Bars</t>
  </si>
  <si>
    <t xml:space="preserve">PRD-1070</t>
  </si>
  <si>
    <t xml:space="preserve">Paper Clips</t>
  </si>
  <si>
    <t xml:space="preserve">PRD-1071</t>
  </si>
  <si>
    <t xml:space="preserve">Hoodie</t>
  </si>
  <si>
    <t xml:space="preserve">PRD-1072</t>
  </si>
  <si>
    <t xml:space="preserve">Card Deck</t>
  </si>
  <si>
    <t xml:space="preserve">PRD-1073</t>
  </si>
  <si>
    <t xml:space="preserve">PRD-1074</t>
  </si>
  <si>
    <t xml:space="preserve">Highlighters</t>
  </si>
  <si>
    <t xml:space="preserve">PRD-1075</t>
  </si>
  <si>
    <t xml:space="preserve">PRD-1076</t>
  </si>
  <si>
    <t xml:space="preserve">PRD-1077</t>
  </si>
  <si>
    <t xml:space="preserve">PRD-1078</t>
  </si>
  <si>
    <t xml:space="preserve">PRD-1079</t>
  </si>
  <si>
    <t xml:space="preserve">PRD-1080</t>
  </si>
  <si>
    <t xml:space="preserve">PRD-1081</t>
  </si>
  <si>
    <t xml:space="preserve">Lip Balm</t>
  </si>
  <si>
    <t xml:space="preserve">PRD-1082</t>
  </si>
  <si>
    <t xml:space="preserve">PRD-1083</t>
  </si>
  <si>
    <t xml:space="preserve">Power Bank</t>
  </si>
  <si>
    <t xml:space="preserve">PRD-1084</t>
  </si>
  <si>
    <t xml:space="preserve">Denim Jeans</t>
  </si>
  <si>
    <t xml:space="preserve">PRD-1085</t>
  </si>
  <si>
    <t xml:space="preserve">PRD-1086</t>
  </si>
  <si>
    <t xml:space="preserve">Cotton Pads</t>
  </si>
  <si>
    <t xml:space="preserve">PRD-1087</t>
  </si>
  <si>
    <t xml:space="preserve">PRD-1088</t>
  </si>
  <si>
    <t xml:space="preserve">Smart Plug</t>
  </si>
  <si>
    <t xml:space="preserve">PRD-1089</t>
  </si>
  <si>
    <t xml:space="preserve">PRD-1090</t>
  </si>
  <si>
    <t xml:space="preserve">PRD-1091</t>
  </si>
  <si>
    <t xml:space="preserve">Baseball Cap</t>
  </si>
  <si>
    <t xml:space="preserve">PRD-1092</t>
  </si>
  <si>
    <t xml:space="preserve">PRD-1093</t>
  </si>
  <si>
    <t xml:space="preserve">PRD-1094</t>
  </si>
  <si>
    <t xml:space="preserve">Beanie Hat</t>
  </si>
  <si>
    <t xml:space="preserve">PRD-1095</t>
  </si>
  <si>
    <t xml:space="preserve">PRD-1096</t>
  </si>
  <si>
    <t xml:space="preserve">Spice Rack</t>
  </si>
  <si>
    <t xml:space="preserve">PRD-1097</t>
  </si>
  <si>
    <t xml:space="preserve">PRD-1098</t>
  </si>
  <si>
    <t xml:space="preserve">PRD-1099</t>
  </si>
  <si>
    <t xml:space="preserve">Nail File Set</t>
  </si>
  <si>
    <t xml:space="preserve">PRD-1100</t>
  </si>
  <si>
    <t xml:space="preserve">PRD-1101</t>
  </si>
  <si>
    <t xml:space="preserve">PRD-1102</t>
  </si>
  <si>
    <t xml:space="preserve">PRD-1103</t>
  </si>
  <si>
    <t xml:space="preserve">PRD-1104</t>
  </si>
  <si>
    <t xml:space="preserve">PRD-1105</t>
  </si>
  <si>
    <t xml:space="preserve">PRD-1106</t>
  </si>
  <si>
    <t xml:space="preserve">PRD-1107</t>
  </si>
  <si>
    <t xml:space="preserve">PRD-1108</t>
  </si>
  <si>
    <t xml:space="preserve">PRD-1109</t>
  </si>
  <si>
    <t xml:space="preserve">PRD-1110</t>
  </si>
  <si>
    <t xml:space="preserve">Coffee Mug Set</t>
  </si>
  <si>
    <t xml:space="preserve">PRD-1111</t>
  </si>
  <si>
    <t xml:space="preserve">PRD-1112</t>
  </si>
  <si>
    <t xml:space="preserve">PRD-1113</t>
  </si>
  <si>
    <t xml:space="preserve">PRD-1114</t>
  </si>
  <si>
    <t xml:space="preserve">Phone Case</t>
  </si>
  <si>
    <t xml:space="preserve">PRD-1115</t>
  </si>
  <si>
    <t xml:space="preserve">PRD-1116</t>
  </si>
  <si>
    <t xml:space="preserve">PRD-1117</t>
  </si>
  <si>
    <t xml:space="preserve">PRD-1118</t>
  </si>
  <si>
    <t xml:space="preserve">PRD-1119</t>
  </si>
  <si>
    <t xml:space="preserve">PRD-1120</t>
  </si>
  <si>
    <t xml:space="preserve">PRD-1121</t>
  </si>
  <si>
    <t xml:space="preserve">PRD-1122</t>
  </si>
  <si>
    <t xml:space="preserve">Tennis Grip Tape</t>
  </si>
  <si>
    <t xml:space="preserve">PRD-1123</t>
  </si>
  <si>
    <t xml:space="preserve">PRD-1124</t>
  </si>
  <si>
    <t xml:space="preserve">PRD-1125</t>
  </si>
  <si>
    <t xml:space="preserve">Camp Mug</t>
  </si>
  <si>
    <t xml:space="preserve">PRD-1126</t>
  </si>
  <si>
    <t xml:space="preserve">Hair Brush</t>
  </si>
  <si>
    <t xml:space="preserve">PRD-1127</t>
  </si>
  <si>
    <t xml:space="preserve">PRD-1128</t>
  </si>
  <si>
    <t xml:space="preserve">PRD-1129</t>
  </si>
  <si>
    <t xml:space="preserve">PRD-1130</t>
  </si>
  <si>
    <t xml:space="preserve">Building Blocks</t>
  </si>
  <si>
    <t xml:space="preserve">PRD-1131</t>
  </si>
  <si>
    <t xml:space="preserve">USB Cable</t>
  </si>
  <si>
    <t xml:space="preserve">PRD-1132</t>
  </si>
  <si>
    <t xml:space="preserve">PRD-1133</t>
  </si>
  <si>
    <t xml:space="preserve">PRD-1134</t>
  </si>
  <si>
    <t xml:space="preserve">PRD-1135</t>
  </si>
  <si>
    <t xml:space="preserve">PRD-1136</t>
  </si>
  <si>
    <t xml:space="preserve">PRD-1137</t>
  </si>
  <si>
    <t xml:space="preserve">PRD-1138</t>
  </si>
  <si>
    <t xml:space="preserve">Ballpoint Pens</t>
  </si>
  <si>
    <t xml:space="preserve">PRD-1139</t>
  </si>
  <si>
    <t xml:space="preserve">PRD-1140</t>
  </si>
  <si>
    <t xml:space="preserve">PRD-1141</t>
  </si>
  <si>
    <t xml:space="preserve">PRD-1142</t>
  </si>
  <si>
    <t xml:space="preserve">PRD-1143</t>
  </si>
  <si>
    <t xml:space="preserve">PRD-1144</t>
  </si>
  <si>
    <t xml:space="preserve">PRD-1145</t>
  </si>
  <si>
    <t xml:space="preserve">PRD-1146</t>
  </si>
  <si>
    <t xml:space="preserve">Honey Jar</t>
  </si>
  <si>
    <t xml:space="preserve">PRD-1147</t>
  </si>
  <si>
    <t xml:space="preserve">Board Game Classic</t>
  </si>
  <si>
    <t xml:space="preserve">PRD-1148</t>
  </si>
  <si>
    <t xml:space="preserve">PRD-1149</t>
  </si>
  <si>
    <t xml:space="preserve">Storage Container</t>
  </si>
  <si>
    <t xml:space="preserve">PRD-1150</t>
  </si>
  <si>
    <t xml:space="preserve">PRD-1151</t>
  </si>
  <si>
    <t xml:space="preserve">PRD-1152</t>
  </si>
  <si>
    <t xml:space="preserve">PRD-1153</t>
  </si>
  <si>
    <t xml:space="preserve">PRD-1154</t>
  </si>
  <si>
    <t xml:space="preserve">PRD-1155</t>
  </si>
  <si>
    <t xml:space="preserve">PRD-1156</t>
  </si>
  <si>
    <t xml:space="preserve">Zip Jacket</t>
  </si>
  <si>
    <t xml:space="preserve">PRD-1157</t>
  </si>
  <si>
    <t xml:space="preserve">PRD-1158</t>
  </si>
  <si>
    <t xml:space="preserve">PRD-1159</t>
  </si>
  <si>
    <t xml:space="preserve">PRD-1160</t>
  </si>
  <si>
    <t xml:space="preserve">PRD-1161</t>
  </si>
  <si>
    <t xml:space="preserve">PRD-1162</t>
  </si>
  <si>
    <t xml:space="preserve">PRD-1163</t>
  </si>
  <si>
    <t xml:space="preserve">PRD-1164</t>
  </si>
  <si>
    <t xml:space="preserve">PRD-1165</t>
  </si>
  <si>
    <t xml:space="preserve">PRD-1166</t>
  </si>
  <si>
    <t xml:space="preserve">PRD-1167</t>
  </si>
  <si>
    <t xml:space="preserve">PRD-1168</t>
  </si>
  <si>
    <t xml:space="preserve">Binder Clips</t>
  </si>
  <si>
    <t xml:space="preserve">PRD-1169</t>
  </si>
  <si>
    <t xml:space="preserve">PRD-1170</t>
  </si>
  <si>
    <t xml:space="preserve">PRD-1171</t>
  </si>
  <si>
    <t xml:space="preserve">PRD-1172</t>
  </si>
  <si>
    <t xml:space="preserve">PRD-1173</t>
  </si>
  <si>
    <t xml:space="preserve">PRD-1174</t>
  </si>
  <si>
    <t xml:space="preserve">PRD-1175</t>
  </si>
  <si>
    <t xml:space="preserve">PRD-1176</t>
  </si>
  <si>
    <t xml:space="preserve">PRD-1177</t>
  </si>
  <si>
    <t xml:space="preserve">PRD-1178</t>
  </si>
  <si>
    <t xml:space="preserve">PRD-1179</t>
  </si>
  <si>
    <t xml:space="preserve">PRD-1180</t>
  </si>
  <si>
    <t xml:space="preserve">PRD-1181</t>
  </si>
  <si>
    <t xml:space="preserve">PRD-1182</t>
  </si>
  <si>
    <t xml:space="preserve">PRD-1183</t>
  </si>
  <si>
    <t xml:space="preserve">PRD-1184</t>
  </si>
  <si>
    <t xml:space="preserve">PRD-1185</t>
  </si>
  <si>
    <t xml:space="preserve">PRD-1186</t>
  </si>
  <si>
    <t xml:space="preserve">PRD-1187</t>
  </si>
  <si>
    <t xml:space="preserve">PRD-1188</t>
  </si>
  <si>
    <t xml:space="preserve">PRD-1189</t>
  </si>
  <si>
    <t xml:space="preserve">PRD-1190</t>
  </si>
  <si>
    <t xml:space="preserve">PRD-1191</t>
  </si>
  <si>
    <t xml:space="preserve">PRD-1192</t>
  </si>
  <si>
    <t xml:space="preserve">PRD-1193</t>
  </si>
  <si>
    <t xml:space="preserve">PRD-1194</t>
  </si>
  <si>
    <t xml:space="preserve">Baking Sheet</t>
  </si>
  <si>
    <t xml:space="preserve">PRD-1195</t>
  </si>
  <si>
    <t xml:space="preserve">PRD-1196</t>
  </si>
  <si>
    <t xml:space="preserve">PRD-1197</t>
  </si>
  <si>
    <t xml:space="preserve">PRD-1198</t>
  </si>
  <si>
    <t xml:space="preserve">PRD-1199</t>
  </si>
  <si>
    <t xml:space="preserve">PRD-1200</t>
  </si>
  <si>
    <t xml:space="preserve">PRD-1201</t>
  </si>
  <si>
    <t xml:space="preserve">PRD-1202</t>
  </si>
  <si>
    <t xml:space="preserve">PRD-1203</t>
  </si>
  <si>
    <t xml:space="preserve">PRD-1204</t>
  </si>
  <si>
    <t xml:space="preserve">PRD-1205</t>
  </si>
  <si>
    <t xml:space="preserve">PRD-1206</t>
  </si>
  <si>
    <t xml:space="preserve">PRD-1207</t>
  </si>
  <si>
    <t xml:space="preserve">PRD-1208</t>
  </si>
  <si>
    <t xml:space="preserve">PRD-1209</t>
  </si>
  <si>
    <t xml:space="preserve">PRD-1210</t>
  </si>
  <si>
    <t xml:space="preserve">PRD-1211</t>
  </si>
  <si>
    <t xml:space="preserve">PRD-1212</t>
  </si>
  <si>
    <t xml:space="preserve">PRD-1213</t>
  </si>
  <si>
    <t xml:space="preserve">PRD-1214</t>
  </si>
  <si>
    <t xml:space="preserve">PRD-1215</t>
  </si>
  <si>
    <t xml:space="preserve">PRD-1216</t>
  </si>
  <si>
    <t xml:space="preserve">PRD-1217</t>
  </si>
  <si>
    <t xml:space="preserve">Yo-Yo</t>
  </si>
  <si>
    <t xml:space="preserve">PRD-1218</t>
  </si>
  <si>
    <t xml:space="preserve">PRD-1219</t>
  </si>
  <si>
    <t xml:space="preserve">PRD-1220</t>
  </si>
  <si>
    <t xml:space="preserve">PRD-1221</t>
  </si>
  <si>
    <t xml:space="preserve">PRD-1222</t>
  </si>
  <si>
    <t xml:space="preserve">PRD-1223</t>
  </si>
  <si>
    <t xml:space="preserve">PRD-1224</t>
  </si>
  <si>
    <t xml:space="preserve">PRD-1225</t>
  </si>
  <si>
    <t xml:space="preserve">PRD-1226</t>
  </si>
  <si>
    <t xml:space="preserve">PRD-1227</t>
  </si>
  <si>
    <t xml:space="preserve">PRD-1228</t>
  </si>
  <si>
    <t xml:space="preserve">PRD-1229</t>
  </si>
  <si>
    <t xml:space="preserve">PRD-1230</t>
  </si>
  <si>
    <t xml:space="preserve">PRD-1231</t>
  </si>
  <si>
    <t xml:space="preserve">PRD-1232</t>
  </si>
  <si>
    <t xml:space="preserve">PRD-1233</t>
  </si>
  <si>
    <t xml:space="preserve">PRD-1234</t>
  </si>
  <si>
    <t xml:space="preserve">PRD-1235</t>
  </si>
  <si>
    <t xml:space="preserve">PRD-1236</t>
  </si>
  <si>
    <t xml:space="preserve">PRD-1237</t>
  </si>
  <si>
    <t xml:space="preserve">PRD-1238</t>
  </si>
  <si>
    <t xml:space="preserve">PRD-1239</t>
  </si>
  <si>
    <t xml:space="preserve">PRD-1240</t>
  </si>
  <si>
    <t xml:space="preserve">PRD-1241</t>
  </si>
  <si>
    <t xml:space="preserve">PRD-1242</t>
  </si>
  <si>
    <t xml:space="preserve">PRD-1243</t>
  </si>
  <si>
    <t xml:space="preserve">PRD-1244</t>
  </si>
  <si>
    <t xml:space="preserve">Notebook A5</t>
  </si>
  <si>
    <t xml:space="preserve">PRD-1245</t>
  </si>
  <si>
    <t xml:space="preserve">PRD-1246</t>
  </si>
  <si>
    <t xml:space="preserve">PRD-1247</t>
  </si>
  <si>
    <t xml:space="preserve">PRD-1248</t>
  </si>
  <si>
    <t xml:space="preserve">PRD-1249</t>
  </si>
  <si>
    <t xml:space="preserve">PRD-1250</t>
  </si>
  <si>
    <t xml:space="preserve">PRD-1251</t>
  </si>
  <si>
    <t xml:space="preserve">PRD-1252</t>
  </si>
  <si>
    <t xml:space="preserve">PRD-1253</t>
  </si>
  <si>
    <t xml:space="preserve">PRD-1254</t>
  </si>
  <si>
    <t xml:space="preserve">PRD-1255</t>
  </si>
  <si>
    <t xml:space="preserve">PRD-1256</t>
  </si>
  <si>
    <t xml:space="preserve">PRD-1257</t>
  </si>
  <si>
    <t xml:space="preserve">PRD-1258</t>
  </si>
  <si>
    <t xml:space="preserve">PRD-1259</t>
  </si>
  <si>
    <t xml:space="preserve">PRD-1260</t>
  </si>
  <si>
    <t xml:space="preserve">PRD-1261</t>
  </si>
  <si>
    <t xml:space="preserve">PRD-1262</t>
  </si>
  <si>
    <t xml:space="preserve">PRD-1263</t>
  </si>
  <si>
    <t xml:space="preserve">PRD-1264</t>
  </si>
  <si>
    <t xml:space="preserve">PRD-1265</t>
  </si>
  <si>
    <t xml:space="preserve">PRD-1266</t>
  </si>
  <si>
    <t xml:space="preserve">PRD-1267</t>
  </si>
  <si>
    <t xml:space="preserve">PRD-1268</t>
  </si>
  <si>
    <t xml:space="preserve">PRD-1269</t>
  </si>
  <si>
    <t xml:space="preserve">PRD-1270</t>
  </si>
  <si>
    <t xml:space="preserve">PRD-1271</t>
  </si>
  <si>
    <t xml:space="preserve">PRD-1272</t>
  </si>
  <si>
    <t xml:space="preserve">PRD-1273</t>
  </si>
  <si>
    <t xml:space="preserve">PRD-1274</t>
  </si>
  <si>
    <t xml:space="preserve">PRD-1275</t>
  </si>
  <si>
    <t xml:space="preserve">PRD-1276</t>
  </si>
  <si>
    <t xml:space="preserve">PRD-1277</t>
  </si>
  <si>
    <t xml:space="preserve">PRD-1278</t>
  </si>
  <si>
    <t xml:space="preserve">PRD-1279</t>
  </si>
  <si>
    <t xml:space="preserve">LED Desk Lamp</t>
  </si>
  <si>
    <t xml:space="preserve">PRD-1280</t>
  </si>
  <si>
    <t xml:space="preserve">PRD-1281</t>
  </si>
  <si>
    <t xml:space="preserve">PRD-1282</t>
  </si>
  <si>
    <t xml:space="preserve">PRD-1283</t>
  </si>
  <si>
    <t xml:space="preserve">PRD-1284</t>
  </si>
  <si>
    <t xml:space="preserve">PRD-1285</t>
  </si>
  <si>
    <t xml:space="preserve">PRD-1286</t>
  </si>
  <si>
    <t xml:space="preserve">PRD-1287</t>
  </si>
  <si>
    <t xml:space="preserve">PRD-1288</t>
  </si>
  <si>
    <t xml:space="preserve">PRD-1289</t>
  </si>
  <si>
    <t xml:space="preserve">PRD-1290</t>
  </si>
  <si>
    <t xml:space="preserve">PRD-1291</t>
  </si>
  <si>
    <t xml:space="preserve">PRD-1292</t>
  </si>
  <si>
    <t xml:space="preserve">PRD-1293</t>
  </si>
  <si>
    <t xml:space="preserve">PRD-1294</t>
  </si>
  <si>
    <t xml:space="preserve">PRD-1295</t>
  </si>
  <si>
    <t xml:space="preserve">PRD-1296</t>
  </si>
  <si>
    <t xml:space="preserve">PRD-1297</t>
  </si>
  <si>
    <t xml:space="preserve">Hand Cream</t>
  </si>
  <si>
    <t xml:space="preserve">PRD-1298</t>
  </si>
  <si>
    <t xml:space="preserve">PRD-1299</t>
  </si>
  <si>
    <t xml:space="preserve">PRD-1300</t>
  </si>
  <si>
    <t xml:space="preserve">PRD-1301</t>
  </si>
  <si>
    <t xml:space="preserve">PRD-1302</t>
  </si>
  <si>
    <t xml:space="preserve">PRD-1303</t>
  </si>
  <si>
    <t xml:space="preserve">PRD-1304</t>
  </si>
  <si>
    <t xml:space="preserve">PRD-1305</t>
  </si>
  <si>
    <t xml:space="preserve">PRD-1306</t>
  </si>
  <si>
    <t xml:space="preserve">PRD-1307</t>
  </si>
  <si>
    <t xml:space="preserve">PRD-1308</t>
  </si>
  <si>
    <t xml:space="preserve">PRD-1309</t>
  </si>
  <si>
    <t xml:space="preserve">PRD-1310</t>
  </si>
  <si>
    <t xml:space="preserve">PRD-1311</t>
  </si>
  <si>
    <t xml:space="preserve">Pasta Sauce</t>
  </si>
  <si>
    <t xml:space="preserve">PRD-1312</t>
  </si>
  <si>
    <t xml:space="preserve">PRD-1313</t>
  </si>
  <si>
    <t xml:space="preserve">PRD-1314</t>
  </si>
  <si>
    <t xml:space="preserve">PRD-1315</t>
  </si>
  <si>
    <t xml:space="preserve">PRD-1316</t>
  </si>
  <si>
    <t xml:space="preserve">PRD-1317</t>
  </si>
  <si>
    <t xml:space="preserve">PRD-1318</t>
  </si>
  <si>
    <t xml:space="preserve">PRD-1319</t>
  </si>
  <si>
    <t xml:space="preserve">PRD-1320</t>
  </si>
  <si>
    <t xml:space="preserve">PRD-1321</t>
  </si>
  <si>
    <t xml:space="preserve">PRD-1322</t>
  </si>
  <si>
    <t xml:space="preserve">PRD-1323</t>
  </si>
  <si>
    <t xml:space="preserve">PRD-1324</t>
  </si>
  <si>
    <t xml:space="preserve">PRD-1325</t>
  </si>
  <si>
    <t xml:space="preserve">PRD-1326</t>
  </si>
  <si>
    <t xml:space="preserve">PRD-1327</t>
  </si>
  <si>
    <t xml:space="preserve">PRD-1328</t>
  </si>
  <si>
    <t xml:space="preserve">PRD-1329</t>
  </si>
  <si>
    <t xml:space="preserve">PRD-1330</t>
  </si>
  <si>
    <t xml:space="preserve">PRD-1331</t>
  </si>
  <si>
    <t xml:space="preserve">PRD-1332</t>
  </si>
  <si>
    <t xml:space="preserve">PRD-1333</t>
  </si>
  <si>
    <t xml:space="preserve">PRD-1334</t>
  </si>
  <si>
    <t xml:space="preserve">PRD-1335</t>
  </si>
  <si>
    <t xml:space="preserve">PRD-1336</t>
  </si>
  <si>
    <t xml:space="preserve">PRD-1337</t>
  </si>
  <si>
    <t xml:space="preserve">PRD-1338</t>
  </si>
  <si>
    <t xml:space="preserve">PRD-1339</t>
  </si>
  <si>
    <t xml:space="preserve">PRD-1340</t>
  </si>
  <si>
    <t xml:space="preserve">PRD-1341</t>
  </si>
  <si>
    <t xml:space="preserve">PRD-1342</t>
  </si>
  <si>
    <t xml:space="preserve">PRD-1343</t>
  </si>
  <si>
    <t xml:space="preserve">PRD-1344</t>
  </si>
  <si>
    <t xml:space="preserve">PRD-1345</t>
  </si>
  <si>
    <t xml:space="preserve">PRD-1346</t>
  </si>
  <si>
    <t xml:space="preserve">PRD-1347</t>
  </si>
  <si>
    <t xml:space="preserve">PRD-1348</t>
  </si>
  <si>
    <t xml:space="preserve">PRD-1349</t>
  </si>
  <si>
    <t xml:space="preserve">PRD-1350</t>
  </si>
  <si>
    <t xml:space="preserve">PRD-1351</t>
  </si>
  <si>
    <t xml:space="preserve">PRD-1352</t>
  </si>
  <si>
    <t xml:space="preserve">PRD-1353</t>
  </si>
  <si>
    <t xml:space="preserve">PRD-1354</t>
  </si>
  <si>
    <t xml:space="preserve">PRD-1355</t>
  </si>
  <si>
    <t xml:space="preserve">PRD-1356</t>
  </si>
  <si>
    <t xml:space="preserve">PRD-1357</t>
  </si>
  <si>
    <t xml:space="preserve">PRD-1358</t>
  </si>
  <si>
    <t xml:space="preserve">PRD-1359</t>
  </si>
  <si>
    <t xml:space="preserve">PRD-1360</t>
  </si>
  <si>
    <t xml:space="preserve">PRD-1361</t>
  </si>
  <si>
    <t xml:space="preserve">PRD-1362</t>
  </si>
  <si>
    <t xml:space="preserve">PRD-1363</t>
  </si>
  <si>
    <t xml:space="preserve">PRD-1364</t>
  </si>
  <si>
    <t xml:space="preserve">PRD-1365</t>
  </si>
  <si>
    <t xml:space="preserve">PRD-1366</t>
  </si>
  <si>
    <t xml:space="preserve">PRD-1367</t>
  </si>
  <si>
    <t xml:space="preserve">PRD-1368</t>
  </si>
  <si>
    <t xml:space="preserve">PRD-1369</t>
  </si>
  <si>
    <t xml:space="preserve">PRD-1370</t>
  </si>
  <si>
    <t xml:space="preserve">PRD-1371</t>
  </si>
  <si>
    <t xml:space="preserve">PRD-1372</t>
  </si>
  <si>
    <t xml:space="preserve">PRD-1373</t>
  </si>
  <si>
    <t xml:space="preserve">PRD-1374</t>
  </si>
  <si>
    <t xml:space="preserve">PRD-1375</t>
  </si>
  <si>
    <t xml:space="preserve">PRD-1376</t>
  </si>
  <si>
    <t xml:space="preserve">PRD-1377</t>
  </si>
  <si>
    <t xml:space="preserve">PRD-1378</t>
  </si>
  <si>
    <t xml:space="preserve">PRD-1379</t>
  </si>
  <si>
    <t xml:space="preserve">PRD-1380</t>
  </si>
  <si>
    <t xml:space="preserve">PRD-1381</t>
  </si>
  <si>
    <t xml:space="preserve">PRD-1382</t>
  </si>
  <si>
    <t xml:space="preserve">PRD-1383</t>
  </si>
  <si>
    <t xml:space="preserve">PRD-1384</t>
  </si>
  <si>
    <t xml:space="preserve">PRD-1385</t>
  </si>
  <si>
    <t xml:space="preserve">PRD-1386</t>
  </si>
  <si>
    <t xml:space="preserve">PRD-1387</t>
  </si>
  <si>
    <t xml:space="preserve">PRD-1388</t>
  </si>
  <si>
    <t xml:space="preserve">PRD-1389</t>
  </si>
  <si>
    <t xml:space="preserve">PRD-1390</t>
  </si>
  <si>
    <t xml:space="preserve">PRD-1391</t>
  </si>
  <si>
    <t xml:space="preserve">PRD-1392</t>
  </si>
  <si>
    <t xml:space="preserve">PRD-1393</t>
  </si>
  <si>
    <t xml:space="preserve">PRD-1394</t>
  </si>
  <si>
    <t xml:space="preserve">PRD-1395</t>
  </si>
  <si>
    <t xml:space="preserve">PRD-1396</t>
  </si>
  <si>
    <t xml:space="preserve">PRD-1397</t>
  </si>
  <si>
    <t xml:space="preserve">PRD-1398</t>
  </si>
  <si>
    <t xml:space="preserve">PRD-1399</t>
  </si>
  <si>
    <t xml:space="preserve">PRD-1400</t>
  </si>
  <si>
    <t xml:space="preserve">PRD-1401</t>
  </si>
  <si>
    <t xml:space="preserve">PRD-1402</t>
  </si>
  <si>
    <t xml:space="preserve">PRD-1403</t>
  </si>
  <si>
    <t xml:space="preserve">PRD-1404</t>
  </si>
  <si>
    <t xml:space="preserve">PRD-1405</t>
  </si>
  <si>
    <t xml:space="preserve">PRD-1406</t>
  </si>
  <si>
    <t xml:space="preserve">PRD-1407</t>
  </si>
  <si>
    <t xml:space="preserve">PRD-1408</t>
  </si>
  <si>
    <t xml:space="preserve">PRD-1409</t>
  </si>
  <si>
    <t xml:space="preserve">PRD-1410</t>
  </si>
  <si>
    <t xml:space="preserve">PRD-1411</t>
  </si>
  <si>
    <t xml:space="preserve">PRD-1412</t>
  </si>
  <si>
    <t xml:space="preserve">PRD-1413</t>
  </si>
  <si>
    <t xml:space="preserve">PRD-1414</t>
  </si>
  <si>
    <t xml:space="preserve">PRD-1415</t>
  </si>
  <si>
    <t xml:space="preserve">PRD-1416</t>
  </si>
  <si>
    <t xml:space="preserve">PRD-1417</t>
  </si>
  <si>
    <t xml:space="preserve">PRD-1418</t>
  </si>
  <si>
    <t xml:space="preserve">PRD-1419</t>
  </si>
  <si>
    <t xml:space="preserve">PRD-1420</t>
  </si>
  <si>
    <t xml:space="preserve">PRD-1421</t>
  </si>
  <si>
    <t xml:space="preserve">PRD-1422</t>
  </si>
  <si>
    <t xml:space="preserve">PRD-1423</t>
  </si>
  <si>
    <t xml:space="preserve">PRD-1424</t>
  </si>
  <si>
    <t xml:space="preserve">PRD-1425</t>
  </si>
  <si>
    <t xml:space="preserve">PRD-1426</t>
  </si>
  <si>
    <t xml:space="preserve">PRD-1427</t>
  </si>
  <si>
    <t xml:space="preserve">PRD-1428</t>
  </si>
  <si>
    <t xml:space="preserve">PRD-1429</t>
  </si>
  <si>
    <t xml:space="preserve">PRD-1430</t>
  </si>
  <si>
    <t xml:space="preserve">PRD-1431</t>
  </si>
  <si>
    <t xml:space="preserve">PRD-1432</t>
  </si>
  <si>
    <t xml:space="preserve">PRD-1433</t>
  </si>
  <si>
    <t xml:space="preserve">PRD-1434</t>
  </si>
  <si>
    <t xml:space="preserve">PRD-1435</t>
  </si>
  <si>
    <t xml:space="preserve">PRD-1436</t>
  </si>
  <si>
    <t xml:space="preserve">PRD-1437</t>
  </si>
  <si>
    <t xml:space="preserve">PRD-1438</t>
  </si>
  <si>
    <t xml:space="preserve">PRD-1439</t>
  </si>
  <si>
    <t xml:space="preserve">PRD-1440</t>
  </si>
  <si>
    <t xml:space="preserve">PRD-1441</t>
  </si>
  <si>
    <t xml:space="preserve">PRD-1442</t>
  </si>
  <si>
    <t xml:space="preserve">PRD-1443</t>
  </si>
  <si>
    <t xml:space="preserve">PRD-1444</t>
  </si>
  <si>
    <t xml:space="preserve">PRD-1445</t>
  </si>
  <si>
    <t xml:space="preserve">PRD-1446</t>
  </si>
  <si>
    <t xml:space="preserve">PRD-1447</t>
  </si>
  <si>
    <t xml:space="preserve">PRD-1448</t>
  </si>
  <si>
    <t xml:space="preserve">PRD-1449</t>
  </si>
  <si>
    <t xml:space="preserve">PRD-1450</t>
  </si>
  <si>
    <t xml:space="preserve">PRD-1451</t>
  </si>
  <si>
    <t xml:space="preserve">PRD-1452</t>
  </si>
  <si>
    <t xml:space="preserve">PRD-1453</t>
  </si>
  <si>
    <t xml:space="preserve">PRD-1454</t>
  </si>
  <si>
    <t xml:space="preserve">PRD-1455</t>
  </si>
  <si>
    <t xml:space="preserve">PRD-1456</t>
  </si>
  <si>
    <t xml:space="preserve">PRD-1457</t>
  </si>
  <si>
    <t xml:space="preserve">PRD-1458</t>
  </si>
  <si>
    <t xml:space="preserve">PRD-1459</t>
  </si>
  <si>
    <t xml:space="preserve">PRD-1460</t>
  </si>
  <si>
    <t xml:space="preserve">PRD-1461</t>
  </si>
  <si>
    <t xml:space="preserve">PRD-1462</t>
  </si>
  <si>
    <t xml:space="preserve">PRD-1463</t>
  </si>
  <si>
    <t xml:space="preserve">PRD-1464</t>
  </si>
  <si>
    <t xml:space="preserve">PRD-1465</t>
  </si>
  <si>
    <t xml:space="preserve">PRD-1466</t>
  </si>
  <si>
    <t xml:space="preserve">PRD-1467</t>
  </si>
  <si>
    <t xml:space="preserve">PRD-1468</t>
  </si>
  <si>
    <t xml:space="preserve">PRD-1469</t>
  </si>
  <si>
    <t xml:space="preserve">PRD-1470</t>
  </si>
  <si>
    <t xml:space="preserve">PRD-1471</t>
  </si>
  <si>
    <t xml:space="preserve">PRD-1472</t>
  </si>
  <si>
    <t xml:space="preserve">PRD-1473</t>
  </si>
  <si>
    <t xml:space="preserve">PRD-1474</t>
  </si>
  <si>
    <t xml:space="preserve">PRD-1475</t>
  </si>
  <si>
    <t xml:space="preserve">PRD-1476</t>
  </si>
  <si>
    <t xml:space="preserve">PRD-1477</t>
  </si>
  <si>
    <t xml:space="preserve">PRD-1478</t>
  </si>
  <si>
    <t xml:space="preserve">PRD-1479</t>
  </si>
  <si>
    <t xml:space="preserve">PRD-1480</t>
  </si>
  <si>
    <t xml:space="preserve">PRD-1481</t>
  </si>
  <si>
    <t xml:space="preserve">PRD-1482</t>
  </si>
  <si>
    <t xml:space="preserve">PRD-1483</t>
  </si>
  <si>
    <t xml:space="preserve">PRD-1484</t>
  </si>
  <si>
    <t xml:space="preserve">PRD-1485</t>
  </si>
  <si>
    <t xml:space="preserve">PRD-1486</t>
  </si>
  <si>
    <t xml:space="preserve">PRD-1487</t>
  </si>
  <si>
    <t xml:space="preserve">PRD-1488</t>
  </si>
  <si>
    <t xml:space="preserve">PRD-1489</t>
  </si>
  <si>
    <t xml:space="preserve">PRD-1490</t>
  </si>
  <si>
    <t xml:space="preserve">PRD-1491</t>
  </si>
  <si>
    <t xml:space="preserve">PRD-1492</t>
  </si>
  <si>
    <t xml:space="preserve">PRD-1493</t>
  </si>
  <si>
    <t xml:space="preserve">PRD-1494</t>
  </si>
  <si>
    <t xml:space="preserve">PRD-1495</t>
  </si>
  <si>
    <t xml:space="preserve">PRD-1496</t>
  </si>
  <si>
    <t xml:space="preserve">PRD-1497</t>
  </si>
  <si>
    <t xml:space="preserve">PRD-1498</t>
  </si>
  <si>
    <t xml:space="preserve">PRD-1499</t>
  </si>
  <si>
    <t xml:space="preserve">PRD-1500</t>
  </si>
  <si>
    <t xml:space="preserve">PRD-1501</t>
  </si>
  <si>
    <t xml:space="preserve">PRD-1502</t>
  </si>
  <si>
    <t xml:space="preserve">PRD-1503</t>
  </si>
  <si>
    <t xml:space="preserve">PRD-1504</t>
  </si>
  <si>
    <t xml:space="preserve">PRD-1505</t>
  </si>
  <si>
    <t xml:space="preserve">PRD-1506</t>
  </si>
  <si>
    <t xml:space="preserve">PRD-1507</t>
  </si>
  <si>
    <t xml:space="preserve">PRD-1508</t>
  </si>
  <si>
    <t xml:space="preserve">PRD-1509</t>
  </si>
  <si>
    <t xml:space="preserve">PRD-1510</t>
  </si>
  <si>
    <t xml:space="preserve">PRD-1511</t>
  </si>
  <si>
    <t xml:space="preserve">PRD-1512</t>
  </si>
  <si>
    <t xml:space="preserve">PRD-1513</t>
  </si>
  <si>
    <t xml:space="preserve">PRD-1514</t>
  </si>
  <si>
    <t xml:space="preserve">PRD-1515</t>
  </si>
  <si>
    <t xml:space="preserve">PRD-1516</t>
  </si>
  <si>
    <t xml:space="preserve">PRD-1517</t>
  </si>
  <si>
    <t xml:space="preserve">PRD-1518</t>
  </si>
  <si>
    <t xml:space="preserve">PRD-1519</t>
  </si>
  <si>
    <t xml:space="preserve">PRD-1520</t>
  </si>
  <si>
    <t xml:space="preserve">PRD-1521</t>
  </si>
  <si>
    <t xml:space="preserve">PRD-1522</t>
  </si>
  <si>
    <t xml:space="preserve">PRD-1523</t>
  </si>
  <si>
    <t xml:space="preserve">PRD-1524</t>
  </si>
  <si>
    <t xml:space="preserve">PRD-1525</t>
  </si>
  <si>
    <t xml:space="preserve">PRD-1526</t>
  </si>
  <si>
    <t xml:space="preserve">PRD-1527</t>
  </si>
  <si>
    <t xml:space="preserve">PRD-1528</t>
  </si>
  <si>
    <t xml:space="preserve">PRD-1529</t>
  </si>
  <si>
    <t xml:space="preserve">PRD-1530</t>
  </si>
  <si>
    <t xml:space="preserve">PRD-1531</t>
  </si>
  <si>
    <t xml:space="preserve">PRD-1532</t>
  </si>
  <si>
    <t xml:space="preserve">PRD-1533</t>
  </si>
  <si>
    <t xml:space="preserve">PRD-1534</t>
  </si>
  <si>
    <t xml:space="preserve">PRD-1535</t>
  </si>
  <si>
    <t xml:space="preserve">PRD-1536</t>
  </si>
  <si>
    <t xml:space="preserve">PRD-1537</t>
  </si>
  <si>
    <t xml:space="preserve">PRD-1538</t>
  </si>
  <si>
    <t xml:space="preserve">PRD-1539</t>
  </si>
  <si>
    <t xml:space="preserve">PRD-1540</t>
  </si>
  <si>
    <t xml:space="preserve">PRD-1541</t>
  </si>
  <si>
    <t xml:space="preserve">PRD-1542</t>
  </si>
  <si>
    <t xml:space="preserve">PRD-1543</t>
  </si>
  <si>
    <t xml:space="preserve">PRD-1544</t>
  </si>
  <si>
    <t xml:space="preserve">PRD-1545</t>
  </si>
  <si>
    <t xml:space="preserve">PRD-1546</t>
  </si>
  <si>
    <t xml:space="preserve">PRD-1547</t>
  </si>
  <si>
    <t xml:space="preserve">PRD-1548</t>
  </si>
  <si>
    <t xml:space="preserve">PRD-1549</t>
  </si>
  <si>
    <t xml:space="preserve">PRD-1550</t>
  </si>
  <si>
    <t xml:space="preserve">PRD-1551</t>
  </si>
  <si>
    <t xml:space="preserve">PRD-1552</t>
  </si>
  <si>
    <t xml:space="preserve">PRD-1553</t>
  </si>
  <si>
    <t xml:space="preserve">PRD-1554</t>
  </si>
  <si>
    <t xml:space="preserve">PRD-1555</t>
  </si>
  <si>
    <t xml:space="preserve">PRD-1556</t>
  </si>
  <si>
    <t xml:space="preserve">PRD-1557</t>
  </si>
  <si>
    <t xml:space="preserve">PRD-1558</t>
  </si>
  <si>
    <t xml:space="preserve">PRD-1559</t>
  </si>
  <si>
    <t xml:space="preserve">PRD-1560</t>
  </si>
  <si>
    <t xml:space="preserve">PRD-1561</t>
  </si>
  <si>
    <t xml:space="preserve">PRD-1562</t>
  </si>
  <si>
    <t xml:space="preserve">PRD-1563</t>
  </si>
  <si>
    <t xml:space="preserve">PRD-1564</t>
  </si>
  <si>
    <t xml:space="preserve">PRD-1565</t>
  </si>
  <si>
    <t xml:space="preserve">PRD-1566</t>
  </si>
  <si>
    <t xml:space="preserve">PRD-1567</t>
  </si>
  <si>
    <t xml:space="preserve">PRD-1568</t>
  </si>
  <si>
    <t xml:space="preserve">PRD-1569</t>
  </si>
  <si>
    <t xml:space="preserve">PRD-1570</t>
  </si>
  <si>
    <t xml:space="preserve">PRD-1571</t>
  </si>
  <si>
    <t xml:space="preserve">PRD-1572</t>
  </si>
  <si>
    <t xml:space="preserve">PRD-1573</t>
  </si>
  <si>
    <t xml:space="preserve">PRD-1574</t>
  </si>
  <si>
    <t xml:space="preserve">PRD-1575</t>
  </si>
  <si>
    <t xml:space="preserve">PRD-1576</t>
  </si>
  <si>
    <t xml:space="preserve">PRD-1577</t>
  </si>
  <si>
    <t xml:space="preserve">PRD-1578</t>
  </si>
  <si>
    <t xml:space="preserve">PRD-1579</t>
  </si>
  <si>
    <t xml:space="preserve">PRD-1580</t>
  </si>
  <si>
    <t xml:space="preserve">PRD-1581</t>
  </si>
  <si>
    <t xml:space="preserve">PRD-1582</t>
  </si>
  <si>
    <t xml:space="preserve">PRD-1583</t>
  </si>
  <si>
    <t xml:space="preserve">PRD-1584</t>
  </si>
  <si>
    <t xml:space="preserve">PRD-1585</t>
  </si>
  <si>
    <t xml:space="preserve">PRD-1586</t>
  </si>
  <si>
    <t xml:space="preserve">PRD-1587</t>
  </si>
  <si>
    <t xml:space="preserve">PRD-1588</t>
  </si>
  <si>
    <t xml:space="preserve">PRD-1589</t>
  </si>
  <si>
    <t xml:space="preserve">PRD-1590</t>
  </si>
  <si>
    <t xml:space="preserve">PRD-1591</t>
  </si>
  <si>
    <t xml:space="preserve">PRD-1592</t>
  </si>
  <si>
    <t xml:space="preserve">PRD-1593</t>
  </si>
  <si>
    <t xml:space="preserve">PRD-1594</t>
  </si>
  <si>
    <t xml:space="preserve">PRD-1595</t>
  </si>
  <si>
    <t xml:space="preserve">PRD-1596</t>
  </si>
  <si>
    <t xml:space="preserve">PRD-1597</t>
  </si>
  <si>
    <t xml:space="preserve">PRD-1598</t>
  </si>
  <si>
    <t xml:space="preserve">PRD-1599</t>
  </si>
  <si>
    <t xml:space="preserve">PRD-1600</t>
  </si>
  <si>
    <t xml:space="preserve">PRD-1601</t>
  </si>
  <si>
    <t xml:space="preserve">PRD-1602</t>
  </si>
  <si>
    <t xml:space="preserve">PRD-1603</t>
  </si>
  <si>
    <t xml:space="preserve">PRD-1604</t>
  </si>
  <si>
    <t xml:space="preserve">PRD-1605</t>
  </si>
  <si>
    <t xml:space="preserve">PRD-1606</t>
  </si>
  <si>
    <t xml:space="preserve">PRD-1607</t>
  </si>
  <si>
    <t xml:space="preserve">PRD-1608</t>
  </si>
  <si>
    <t xml:space="preserve">PRD-1609</t>
  </si>
  <si>
    <t xml:space="preserve">PRD-1610</t>
  </si>
  <si>
    <t xml:space="preserve">PRD-1611</t>
  </si>
  <si>
    <t xml:space="preserve">PRD-1612</t>
  </si>
  <si>
    <t xml:space="preserve">PRD-1613</t>
  </si>
  <si>
    <t xml:space="preserve">PRD-1614</t>
  </si>
  <si>
    <t xml:space="preserve">PRD-1615</t>
  </si>
  <si>
    <t xml:space="preserve">PRD-1616</t>
  </si>
  <si>
    <t xml:space="preserve">PRD-1617</t>
  </si>
  <si>
    <t xml:space="preserve">PRD-1618</t>
  </si>
  <si>
    <t xml:space="preserve">PRD-1619</t>
  </si>
  <si>
    <t xml:space="preserve">PRD-1620</t>
  </si>
  <si>
    <t xml:space="preserve">PRD-1621</t>
  </si>
  <si>
    <t xml:space="preserve">PRD-1622</t>
  </si>
  <si>
    <t xml:space="preserve">PRD-1623</t>
  </si>
  <si>
    <t xml:space="preserve">PRD-1624</t>
  </si>
  <si>
    <t xml:space="preserve">PRD-1625</t>
  </si>
  <si>
    <t xml:space="preserve">PRD-1626</t>
  </si>
  <si>
    <t xml:space="preserve">PRD-1627</t>
  </si>
  <si>
    <t xml:space="preserve">PRD-1628</t>
  </si>
  <si>
    <t xml:space="preserve">PRD-1629</t>
  </si>
  <si>
    <t xml:space="preserve">PRD-1630</t>
  </si>
  <si>
    <t xml:space="preserve">PRD-1631</t>
  </si>
  <si>
    <t xml:space="preserve">PRD-1632</t>
  </si>
  <si>
    <t xml:space="preserve">PRD-1633</t>
  </si>
  <si>
    <t xml:space="preserve">PRD-1634</t>
  </si>
  <si>
    <t xml:space="preserve">PRD-1635</t>
  </si>
  <si>
    <t xml:space="preserve">PRD-1636</t>
  </si>
  <si>
    <t xml:space="preserve">PRD-1637</t>
  </si>
  <si>
    <t xml:space="preserve">PRD-1638</t>
  </si>
  <si>
    <t xml:space="preserve">PRD-1639</t>
  </si>
  <si>
    <t xml:space="preserve">PRD-1640</t>
  </si>
  <si>
    <t xml:space="preserve">PRD-1641</t>
  </si>
  <si>
    <t xml:space="preserve">PRD-1642</t>
  </si>
  <si>
    <t xml:space="preserve">PRD-1643</t>
  </si>
  <si>
    <t xml:space="preserve">PRD-1644</t>
  </si>
  <si>
    <t xml:space="preserve">PRD-1645</t>
  </si>
  <si>
    <t xml:space="preserve">PRD-1646</t>
  </si>
  <si>
    <t xml:space="preserve">PRD-1647</t>
  </si>
  <si>
    <t xml:space="preserve">PRD-1648</t>
  </si>
  <si>
    <t xml:space="preserve">PRD-1649</t>
  </si>
  <si>
    <t xml:space="preserve">PRD-1650</t>
  </si>
  <si>
    <t xml:space="preserve">PRD-1651</t>
  </si>
  <si>
    <t xml:space="preserve">PRD-1652</t>
  </si>
  <si>
    <t xml:space="preserve">PRD-1653</t>
  </si>
  <si>
    <t xml:space="preserve">PRD-1654</t>
  </si>
  <si>
    <t xml:space="preserve">PRD-1655</t>
  </si>
  <si>
    <t xml:space="preserve">PRD-1656</t>
  </si>
  <si>
    <t xml:space="preserve">PRD-1657</t>
  </si>
  <si>
    <t xml:space="preserve">PRD-1658</t>
  </si>
  <si>
    <t xml:space="preserve">PRD-1659</t>
  </si>
  <si>
    <t xml:space="preserve">PRD-1660</t>
  </si>
  <si>
    <t xml:space="preserve">PRD-1661</t>
  </si>
  <si>
    <t xml:space="preserve">PRD-1662</t>
  </si>
  <si>
    <t xml:space="preserve">PRD-1663</t>
  </si>
  <si>
    <t xml:space="preserve">PRD-1664</t>
  </si>
  <si>
    <t xml:space="preserve">PRD-1665</t>
  </si>
  <si>
    <t xml:space="preserve">PRD-1666</t>
  </si>
  <si>
    <t xml:space="preserve">PRD-1667</t>
  </si>
  <si>
    <t xml:space="preserve">PRD-1668</t>
  </si>
  <si>
    <t xml:space="preserve">PRD-1669</t>
  </si>
  <si>
    <t xml:space="preserve">PRD-1670</t>
  </si>
  <si>
    <t xml:space="preserve">PRD-1671</t>
  </si>
  <si>
    <t xml:space="preserve">PRD-1672</t>
  </si>
  <si>
    <t xml:space="preserve">PRD-1673</t>
  </si>
  <si>
    <t xml:space="preserve">PRD-1674</t>
  </si>
  <si>
    <t xml:space="preserve">PRD-1675</t>
  </si>
  <si>
    <t xml:space="preserve">PRD-1676</t>
  </si>
  <si>
    <t xml:space="preserve">PRD-1677</t>
  </si>
  <si>
    <t xml:space="preserve">PRD-1678</t>
  </si>
  <si>
    <t xml:space="preserve">PRD-1679</t>
  </si>
  <si>
    <t xml:space="preserve">PRD-1680</t>
  </si>
  <si>
    <t xml:space="preserve">PRD-1681</t>
  </si>
  <si>
    <t xml:space="preserve">PRD-1682</t>
  </si>
  <si>
    <t xml:space="preserve">PRD-1683</t>
  </si>
  <si>
    <t xml:space="preserve">PRD-1684</t>
  </si>
  <si>
    <t xml:space="preserve">PRD-1685</t>
  </si>
  <si>
    <t xml:space="preserve">PRD-1686</t>
  </si>
  <si>
    <t xml:space="preserve">PRD-1687</t>
  </si>
  <si>
    <t xml:space="preserve">PRD-1688</t>
  </si>
  <si>
    <t xml:space="preserve">PRD-1689</t>
  </si>
  <si>
    <t xml:space="preserve">PRD-1690</t>
  </si>
  <si>
    <t xml:space="preserve">PRD-1691</t>
  </si>
  <si>
    <t xml:space="preserve">PRD-1692</t>
  </si>
  <si>
    <t xml:space="preserve">PRD-1693</t>
  </si>
  <si>
    <t xml:space="preserve">PRD-1694</t>
  </si>
  <si>
    <t xml:space="preserve">PRD-1695</t>
  </si>
  <si>
    <t xml:space="preserve">PRD-1696</t>
  </si>
  <si>
    <t xml:space="preserve">PRD-1697</t>
  </si>
  <si>
    <t xml:space="preserve">PRD-1698</t>
  </si>
  <si>
    <t xml:space="preserve">PRD-1699</t>
  </si>
  <si>
    <t xml:space="preserve">PRD-1700</t>
  </si>
  <si>
    <t xml:space="preserve">PRD-1701</t>
  </si>
  <si>
    <t xml:space="preserve">PRD-1702</t>
  </si>
  <si>
    <t xml:space="preserve">PRD-1703</t>
  </si>
  <si>
    <t xml:space="preserve">PRD-1704</t>
  </si>
  <si>
    <t xml:space="preserve">PRD-1705</t>
  </si>
  <si>
    <t xml:space="preserve">PRD-1706</t>
  </si>
  <si>
    <t xml:space="preserve">PRD-1707</t>
  </si>
  <si>
    <t xml:space="preserve">PRD-1708</t>
  </si>
  <si>
    <t xml:space="preserve">PRD-1709</t>
  </si>
  <si>
    <t xml:space="preserve">PRD-1710</t>
  </si>
  <si>
    <t xml:space="preserve">PRD-1711</t>
  </si>
  <si>
    <t xml:space="preserve">PRD-1712</t>
  </si>
  <si>
    <t xml:space="preserve">PRD-1713</t>
  </si>
  <si>
    <t xml:space="preserve">PRD-1714</t>
  </si>
  <si>
    <t xml:space="preserve">PRD-1715</t>
  </si>
  <si>
    <t xml:space="preserve">PRD-1716</t>
  </si>
  <si>
    <t xml:space="preserve">PRD-1717</t>
  </si>
  <si>
    <t xml:space="preserve">PRD-1718</t>
  </si>
  <si>
    <t xml:space="preserve">PRD-1719</t>
  </si>
  <si>
    <t xml:space="preserve">PRD-1720</t>
  </si>
  <si>
    <t xml:space="preserve">PRD-1721</t>
  </si>
  <si>
    <t xml:space="preserve">PRD-1722</t>
  </si>
  <si>
    <t xml:space="preserve">PRD-1723</t>
  </si>
  <si>
    <t xml:space="preserve">PRD-1724</t>
  </si>
  <si>
    <t xml:space="preserve">PRD-1725</t>
  </si>
  <si>
    <t xml:space="preserve">PRD-1726</t>
  </si>
  <si>
    <t xml:space="preserve">PRD-1727</t>
  </si>
  <si>
    <t xml:space="preserve">PRD-1728</t>
  </si>
  <si>
    <t xml:space="preserve">PRD-1729</t>
  </si>
  <si>
    <t xml:space="preserve">PRD-1730</t>
  </si>
  <si>
    <t xml:space="preserve">PRD-1731</t>
  </si>
  <si>
    <t xml:space="preserve">PRD-1732</t>
  </si>
  <si>
    <t xml:space="preserve">PRD-1733</t>
  </si>
  <si>
    <t xml:space="preserve">PRD-1734</t>
  </si>
  <si>
    <t xml:space="preserve">PRD-1735</t>
  </si>
  <si>
    <t xml:space="preserve">PRD-1736</t>
  </si>
  <si>
    <t xml:space="preserve">PRD-1737</t>
  </si>
  <si>
    <t xml:space="preserve">PRD-1738</t>
  </si>
  <si>
    <t xml:space="preserve">PRD-1739</t>
  </si>
  <si>
    <t xml:space="preserve">PRD-1740</t>
  </si>
  <si>
    <t xml:space="preserve">PRD-1741</t>
  </si>
  <si>
    <t xml:space="preserve">PRD-1742</t>
  </si>
  <si>
    <t xml:space="preserve">PRD-1743</t>
  </si>
  <si>
    <t xml:space="preserve">PRD-1744</t>
  </si>
  <si>
    <t xml:space="preserve">PRD-1745</t>
  </si>
  <si>
    <t xml:space="preserve">PRD-1746</t>
  </si>
  <si>
    <t xml:space="preserve">PRD-1747</t>
  </si>
  <si>
    <t xml:space="preserve">PRD-1748</t>
  </si>
  <si>
    <t xml:space="preserve">PRD-1749</t>
  </si>
  <si>
    <t xml:space="preserve">PRD-1750</t>
  </si>
  <si>
    <t xml:space="preserve">PRD-1751</t>
  </si>
  <si>
    <t xml:space="preserve">PRD-1752</t>
  </si>
  <si>
    <t xml:space="preserve">PRD-1753</t>
  </si>
  <si>
    <t xml:space="preserve">PRD-1754</t>
  </si>
  <si>
    <t xml:space="preserve">PRD-1755</t>
  </si>
  <si>
    <t xml:space="preserve">PRD-1756</t>
  </si>
  <si>
    <t xml:space="preserve">PRD-1757</t>
  </si>
  <si>
    <t xml:space="preserve">PRD-1758</t>
  </si>
  <si>
    <t xml:space="preserve">PRD-1759</t>
  </si>
  <si>
    <t xml:space="preserve">PRD-1760</t>
  </si>
  <si>
    <t xml:space="preserve">PRD-1761</t>
  </si>
  <si>
    <t xml:space="preserve">PRD-1762</t>
  </si>
  <si>
    <t xml:space="preserve">PRD-1763</t>
  </si>
  <si>
    <t xml:space="preserve">PRD-1764</t>
  </si>
  <si>
    <t xml:space="preserve">PRD-1765</t>
  </si>
  <si>
    <t xml:space="preserve">PRD-1766</t>
  </si>
  <si>
    <t xml:space="preserve">PRD-1767</t>
  </si>
  <si>
    <t xml:space="preserve">PRD-1768</t>
  </si>
  <si>
    <t xml:space="preserve">PRD-1769</t>
  </si>
  <si>
    <t xml:space="preserve">PRD-1770</t>
  </si>
  <si>
    <t xml:space="preserve">PRD-1771</t>
  </si>
  <si>
    <t xml:space="preserve">PRD-1772</t>
  </si>
  <si>
    <t xml:space="preserve">PRD-1773</t>
  </si>
  <si>
    <t xml:space="preserve">PRD-1774</t>
  </si>
  <si>
    <t xml:space="preserve">PRD-1775</t>
  </si>
  <si>
    <t xml:space="preserve">PRD-1776</t>
  </si>
  <si>
    <t xml:space="preserve">PRD-1777</t>
  </si>
  <si>
    <t xml:space="preserve">PRD-1778</t>
  </si>
  <si>
    <t xml:space="preserve">PRD-1779</t>
  </si>
  <si>
    <t xml:space="preserve">PRD-1780</t>
  </si>
  <si>
    <t xml:space="preserve">PRD-1781</t>
  </si>
  <si>
    <t xml:space="preserve">PRD-1782</t>
  </si>
  <si>
    <t xml:space="preserve">PRD-1783</t>
  </si>
  <si>
    <t xml:space="preserve">PRD-1784</t>
  </si>
  <si>
    <t xml:space="preserve">PRD-1785</t>
  </si>
  <si>
    <t xml:space="preserve">PRD-1786</t>
  </si>
  <si>
    <t xml:space="preserve">PRD-1787</t>
  </si>
  <si>
    <t xml:space="preserve">PRD-1788</t>
  </si>
  <si>
    <t xml:space="preserve">PRD-1789</t>
  </si>
  <si>
    <t xml:space="preserve">PRD-1790</t>
  </si>
  <si>
    <t xml:space="preserve">PRD-1791</t>
  </si>
  <si>
    <t xml:space="preserve">PRD-1792</t>
  </si>
  <si>
    <t xml:space="preserve">PRD-1793</t>
  </si>
  <si>
    <t xml:space="preserve">PRD-1794</t>
  </si>
  <si>
    <t xml:space="preserve">PRD-1795</t>
  </si>
  <si>
    <t xml:space="preserve">PRD-1796</t>
  </si>
  <si>
    <t xml:space="preserve">PRD-1797</t>
  </si>
  <si>
    <t xml:space="preserve">PRD-1798</t>
  </si>
  <si>
    <t xml:space="preserve">PRD-1799</t>
  </si>
  <si>
    <t xml:space="preserve">PRD-1800</t>
  </si>
  <si>
    <t xml:space="preserve">PRD-1801</t>
  </si>
  <si>
    <t xml:space="preserve">PRD-1802</t>
  </si>
  <si>
    <t xml:space="preserve">PRD-1803</t>
  </si>
  <si>
    <t xml:space="preserve">PRD-1804</t>
  </si>
  <si>
    <t xml:space="preserve">PRD-1805</t>
  </si>
  <si>
    <t xml:space="preserve">PRD-1806</t>
  </si>
  <si>
    <t xml:space="preserve">PRD-1807</t>
  </si>
  <si>
    <t xml:space="preserve">PRD-1808</t>
  </si>
  <si>
    <t xml:space="preserve">PRD-1809</t>
  </si>
  <si>
    <t xml:space="preserve">PRD-1810</t>
  </si>
  <si>
    <t xml:space="preserve">PRD-1811</t>
  </si>
  <si>
    <t xml:space="preserve">PRD-1812</t>
  </si>
  <si>
    <t xml:space="preserve">PRD-1813</t>
  </si>
  <si>
    <t xml:space="preserve">PRD-1814</t>
  </si>
  <si>
    <t xml:space="preserve">PRD-1815</t>
  </si>
  <si>
    <t xml:space="preserve">PRD-1816</t>
  </si>
  <si>
    <t xml:space="preserve">PRD-1817</t>
  </si>
  <si>
    <t xml:space="preserve">PRD-1818</t>
  </si>
  <si>
    <t xml:space="preserve">PRD-1819</t>
  </si>
  <si>
    <t xml:space="preserve">PRD-1820</t>
  </si>
  <si>
    <t xml:space="preserve">PRD-1821</t>
  </si>
  <si>
    <t xml:space="preserve">PRD-1822</t>
  </si>
  <si>
    <t xml:space="preserve">PRD-1823</t>
  </si>
  <si>
    <t xml:space="preserve">PRD-1824</t>
  </si>
  <si>
    <t xml:space="preserve">PRD-1825</t>
  </si>
  <si>
    <t xml:space="preserve">PRD-1826</t>
  </si>
  <si>
    <t xml:space="preserve">PRD-1827</t>
  </si>
  <si>
    <t xml:space="preserve">PRD-1828</t>
  </si>
  <si>
    <t xml:space="preserve">PRD-1829</t>
  </si>
  <si>
    <t xml:space="preserve">PRD-1830</t>
  </si>
  <si>
    <t xml:space="preserve">PRD-1831</t>
  </si>
  <si>
    <t xml:space="preserve">PRD-1832</t>
  </si>
  <si>
    <t xml:space="preserve">PRD-1833</t>
  </si>
  <si>
    <t xml:space="preserve">PRD-1834</t>
  </si>
  <si>
    <t xml:space="preserve">PRD-1835</t>
  </si>
  <si>
    <t xml:space="preserve">PRD-1836</t>
  </si>
  <si>
    <t xml:space="preserve">PRD-1837</t>
  </si>
  <si>
    <t xml:space="preserve">PRD-1838</t>
  </si>
  <si>
    <t xml:space="preserve">PRD-1839</t>
  </si>
  <si>
    <t xml:space="preserve">PRD-1840</t>
  </si>
  <si>
    <t xml:space="preserve">PRD-1841</t>
  </si>
  <si>
    <t xml:space="preserve">PRD-1842</t>
  </si>
  <si>
    <t xml:space="preserve">PRD-1843</t>
  </si>
  <si>
    <t xml:space="preserve">PRD-1844</t>
  </si>
  <si>
    <t xml:space="preserve">PRD-1845</t>
  </si>
  <si>
    <t xml:space="preserve">PRD-1846</t>
  </si>
  <si>
    <t xml:space="preserve">PRD-1847</t>
  </si>
  <si>
    <t xml:space="preserve">PRD-1848</t>
  </si>
  <si>
    <t xml:space="preserve">PRD-1849</t>
  </si>
  <si>
    <t xml:space="preserve">PRD-1850</t>
  </si>
  <si>
    <t xml:space="preserve">PRD-1851</t>
  </si>
  <si>
    <t xml:space="preserve">PRD-1852</t>
  </si>
  <si>
    <t xml:space="preserve">PRD-1853</t>
  </si>
  <si>
    <t xml:space="preserve">PRD-1854</t>
  </si>
  <si>
    <t xml:space="preserve">PRD-1855</t>
  </si>
  <si>
    <t xml:space="preserve">PRD-1856</t>
  </si>
  <si>
    <t xml:space="preserve">PRD-1857</t>
  </si>
  <si>
    <t xml:space="preserve">PRD-1858</t>
  </si>
  <si>
    <t xml:space="preserve">PRD-1859</t>
  </si>
  <si>
    <t xml:space="preserve">PRD-1860</t>
  </si>
  <si>
    <t xml:space="preserve">PRD-1861</t>
  </si>
  <si>
    <t xml:space="preserve">PRD-1862</t>
  </si>
  <si>
    <t xml:space="preserve">PRD-1863</t>
  </si>
  <si>
    <t xml:space="preserve">PRD-1864</t>
  </si>
  <si>
    <t xml:space="preserve">PRD-1865</t>
  </si>
  <si>
    <t xml:space="preserve">PRD-1866</t>
  </si>
  <si>
    <t xml:space="preserve">PRD-1867</t>
  </si>
  <si>
    <t xml:space="preserve">PRD-1868</t>
  </si>
  <si>
    <t xml:space="preserve">PRD-1869</t>
  </si>
  <si>
    <t xml:space="preserve">PRD-1870</t>
  </si>
  <si>
    <t xml:space="preserve">PRD-1871</t>
  </si>
  <si>
    <t xml:space="preserve">PRD-1872</t>
  </si>
  <si>
    <t xml:space="preserve">PRD-1873</t>
  </si>
  <si>
    <t xml:space="preserve">PRD-1874</t>
  </si>
  <si>
    <t xml:space="preserve">PRD-1875</t>
  </si>
  <si>
    <t xml:space="preserve">PRD-1876</t>
  </si>
  <si>
    <t xml:space="preserve">PRD-1877</t>
  </si>
  <si>
    <t xml:space="preserve">PRD-1878</t>
  </si>
  <si>
    <t xml:space="preserve">PRD-1879</t>
  </si>
  <si>
    <t xml:space="preserve">PRD-1880</t>
  </si>
  <si>
    <t xml:space="preserve">PRD-1881</t>
  </si>
  <si>
    <t xml:space="preserve">PRD-1882</t>
  </si>
  <si>
    <t xml:space="preserve">PRD-1883</t>
  </si>
  <si>
    <t xml:space="preserve">PRD-1884</t>
  </si>
  <si>
    <t xml:space="preserve">PRD-1885</t>
  </si>
  <si>
    <t xml:space="preserve">PRD-1886</t>
  </si>
  <si>
    <t xml:space="preserve">PRD-1887</t>
  </si>
  <si>
    <t xml:space="preserve">PRD-1888</t>
  </si>
  <si>
    <t xml:space="preserve">PRD-1889</t>
  </si>
  <si>
    <t xml:space="preserve">PRD-1890</t>
  </si>
  <si>
    <t xml:space="preserve">PRD-1891</t>
  </si>
  <si>
    <t xml:space="preserve">PRD-1892</t>
  </si>
  <si>
    <t xml:space="preserve">PRD-1893</t>
  </si>
  <si>
    <t xml:space="preserve">PRD-1894</t>
  </si>
  <si>
    <t xml:space="preserve">PRD-1895</t>
  </si>
  <si>
    <t xml:space="preserve">PRD-1896</t>
  </si>
  <si>
    <t xml:space="preserve">PRD-1897</t>
  </si>
  <si>
    <t xml:space="preserve">PRD-1898</t>
  </si>
  <si>
    <t xml:space="preserve">PRD-1899</t>
  </si>
  <si>
    <t xml:space="preserve">PRD-1900</t>
  </si>
  <si>
    <t xml:space="preserve">PRD-1901</t>
  </si>
  <si>
    <t xml:space="preserve">PRD-1902</t>
  </si>
  <si>
    <t xml:space="preserve">PRD-1903</t>
  </si>
  <si>
    <t xml:space="preserve">PRD-1904</t>
  </si>
  <si>
    <t xml:space="preserve">PRD-1905</t>
  </si>
  <si>
    <t xml:space="preserve">PRD-1906</t>
  </si>
  <si>
    <t xml:space="preserve">PRD-1907</t>
  </si>
  <si>
    <t xml:space="preserve">PRD-1908</t>
  </si>
  <si>
    <t xml:space="preserve">PRD-1909</t>
  </si>
  <si>
    <t xml:space="preserve">PRD-1910</t>
  </si>
  <si>
    <t xml:space="preserve">PRD-1911</t>
  </si>
  <si>
    <t xml:space="preserve">PRD-1912</t>
  </si>
  <si>
    <t xml:space="preserve">PRD-1913</t>
  </si>
  <si>
    <t xml:space="preserve">PRD-1914</t>
  </si>
  <si>
    <t xml:space="preserve">PRD-1915</t>
  </si>
  <si>
    <t xml:space="preserve">PRD-1916</t>
  </si>
  <si>
    <t xml:space="preserve">PRD-1917</t>
  </si>
  <si>
    <t xml:space="preserve">PRD-1918</t>
  </si>
  <si>
    <t xml:space="preserve">PRD-1919</t>
  </si>
  <si>
    <t xml:space="preserve">PRD-1920</t>
  </si>
  <si>
    <t xml:space="preserve">PRD-1921</t>
  </si>
  <si>
    <t xml:space="preserve">PRD-1922</t>
  </si>
  <si>
    <t xml:space="preserve">PRD-1923</t>
  </si>
  <si>
    <t xml:space="preserve">PRD-1924</t>
  </si>
  <si>
    <t xml:space="preserve">PRD-1925</t>
  </si>
  <si>
    <t xml:space="preserve">PRD-1926</t>
  </si>
  <si>
    <t xml:space="preserve">PRD-1927</t>
  </si>
  <si>
    <t xml:space="preserve">PRD-1928</t>
  </si>
  <si>
    <t xml:space="preserve">PRD-1929</t>
  </si>
  <si>
    <t xml:space="preserve">PRD-1930</t>
  </si>
  <si>
    <t xml:space="preserve">PRD-1931</t>
  </si>
  <si>
    <t xml:space="preserve">PRD-1932</t>
  </si>
  <si>
    <t xml:space="preserve">PRD-1933</t>
  </si>
  <si>
    <t xml:space="preserve">PRD-1934</t>
  </si>
  <si>
    <t xml:space="preserve">PRD-1935</t>
  </si>
  <si>
    <t xml:space="preserve">PRD-1936</t>
  </si>
  <si>
    <t xml:space="preserve">PRD-1937</t>
  </si>
  <si>
    <t xml:space="preserve">PRD-1938</t>
  </si>
  <si>
    <t xml:space="preserve">PRD-1939</t>
  </si>
  <si>
    <t xml:space="preserve">PRD-1940</t>
  </si>
  <si>
    <t xml:space="preserve">PRD-1941</t>
  </si>
  <si>
    <t xml:space="preserve">PRD-1942</t>
  </si>
  <si>
    <t xml:space="preserve">PRD-1943</t>
  </si>
  <si>
    <t xml:space="preserve">PRD-1944</t>
  </si>
  <si>
    <t xml:space="preserve">PRD-1945</t>
  </si>
  <si>
    <t xml:space="preserve">PRD-1946</t>
  </si>
  <si>
    <t xml:space="preserve">PRD-1947</t>
  </si>
  <si>
    <t xml:space="preserve">PRD-1948</t>
  </si>
  <si>
    <t xml:space="preserve">PRD-1949</t>
  </si>
  <si>
    <t xml:space="preserve">PRD-1950</t>
  </si>
  <si>
    <t xml:space="preserve">PRD-1951</t>
  </si>
  <si>
    <t xml:space="preserve">PRD-1952</t>
  </si>
  <si>
    <t xml:space="preserve">PRD-1953</t>
  </si>
  <si>
    <t xml:space="preserve">PRD-1954</t>
  </si>
  <si>
    <t xml:space="preserve">PRD-1955</t>
  </si>
  <si>
    <t xml:space="preserve">PRD-1956</t>
  </si>
  <si>
    <t xml:space="preserve">PRD-1957</t>
  </si>
  <si>
    <t xml:space="preserve">PRD-1958</t>
  </si>
  <si>
    <t xml:space="preserve">PRD-1959</t>
  </si>
  <si>
    <t xml:space="preserve">PRD-1960</t>
  </si>
  <si>
    <t xml:space="preserve">PRD-1961</t>
  </si>
  <si>
    <t xml:space="preserve">PRD-1962</t>
  </si>
  <si>
    <t xml:space="preserve">PRD-1963</t>
  </si>
  <si>
    <t xml:space="preserve">PRD-1964</t>
  </si>
  <si>
    <t xml:space="preserve">PRD-1965</t>
  </si>
  <si>
    <t xml:space="preserve">PRD-1966</t>
  </si>
  <si>
    <t xml:space="preserve">PRD-1967</t>
  </si>
  <si>
    <t xml:space="preserve">PRD-1968</t>
  </si>
  <si>
    <t xml:space="preserve">PRD-1969</t>
  </si>
  <si>
    <t xml:space="preserve">PRD-1970</t>
  </si>
  <si>
    <t xml:space="preserve">PRD-1971</t>
  </si>
  <si>
    <t xml:space="preserve">PRD-1972</t>
  </si>
  <si>
    <t xml:space="preserve">PRD-1973</t>
  </si>
  <si>
    <t xml:space="preserve">PRD-1974</t>
  </si>
  <si>
    <t xml:space="preserve">PRD-1975</t>
  </si>
  <si>
    <t xml:space="preserve">PRD-1976</t>
  </si>
  <si>
    <t xml:space="preserve">PRD-1977</t>
  </si>
  <si>
    <t xml:space="preserve">PRD-1978</t>
  </si>
  <si>
    <t xml:space="preserve">PRD-1979</t>
  </si>
  <si>
    <t xml:space="preserve">PRD-1980</t>
  </si>
  <si>
    <t xml:space="preserve">PRD-1981</t>
  </si>
  <si>
    <t xml:space="preserve">PRD-1982</t>
  </si>
  <si>
    <t xml:space="preserve">PRD-1983</t>
  </si>
  <si>
    <t xml:space="preserve">PRD-1984</t>
  </si>
  <si>
    <t xml:space="preserve">PRD-1985</t>
  </si>
  <si>
    <t xml:space="preserve">PRD-1986</t>
  </si>
  <si>
    <t xml:space="preserve">PRD-1987</t>
  </si>
  <si>
    <t xml:space="preserve">PRD-1988</t>
  </si>
  <si>
    <t xml:space="preserve">PRD-1989</t>
  </si>
  <si>
    <t xml:space="preserve">PRD-1990</t>
  </si>
  <si>
    <t xml:space="preserve">PRD-1991</t>
  </si>
  <si>
    <t xml:space="preserve">PRD-1992</t>
  </si>
  <si>
    <t xml:space="preserve">PRD-1993</t>
  </si>
  <si>
    <t xml:space="preserve">PRD-1994</t>
  </si>
  <si>
    <t xml:space="preserve">PRD-1995</t>
  </si>
  <si>
    <t xml:space="preserve">PRD-1996</t>
  </si>
  <si>
    <t xml:space="preserve">PRD-1997</t>
  </si>
  <si>
    <t xml:space="preserve">PRD-1998</t>
  </si>
  <si>
    <t xml:space="preserve">PRD-1999</t>
  </si>
  <si>
    <t xml:space="preserve">PRD-2000</t>
  </si>
</sst>
</file>

<file path=xl/styles.xml><?xml version="1.0" encoding="utf-8"?>
<styleSheet xmlns="http://schemas.openxmlformats.org/spreadsheetml/2006/main">
  <numFmts count="3">
    <numFmt numFmtId="164" formatCode="General"/>
    <numFmt numFmtId="165" formatCode="#,##0.00"/>
    <numFmt numFmtId="166" formatCode="#,##0"/>
  </numFmts>
  <fonts count="9">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1"/>
      <color rgb="FFFFFFFF"/>
      <name val="Arial"/>
      <family val="0"/>
      <charset val="1"/>
    </font>
    <font>
      <sz val="11"/>
      <color rgb="FFFFFFFF"/>
      <name val="Calibri"/>
      <family val="2"/>
      <charset val="1"/>
    </font>
    <font>
      <b val="true"/>
      <sz val="10"/>
      <color rgb="FFFFFFFF"/>
      <name val="Arial"/>
      <family val="0"/>
      <charset val="1"/>
    </font>
  </fonts>
  <fills count="7">
    <fill>
      <patternFill patternType="none"/>
    </fill>
    <fill>
      <patternFill patternType="gray125"/>
    </fill>
    <fill>
      <patternFill patternType="solid">
        <fgColor rgb="FFFFFFA6"/>
        <bgColor rgb="FFFFFFCC"/>
      </patternFill>
    </fill>
    <fill>
      <patternFill patternType="solid">
        <fgColor rgb="FFFFFF00"/>
        <bgColor rgb="FFFFFF00"/>
      </patternFill>
    </fill>
    <fill>
      <patternFill patternType="solid">
        <fgColor rgb="FF111111"/>
        <bgColor rgb="FF000000"/>
      </patternFill>
    </fill>
    <fill>
      <patternFill patternType="solid">
        <fgColor rgb="FF000000"/>
        <bgColor rgb="FF111111"/>
      </patternFill>
    </fill>
    <fill>
      <patternFill patternType="solid">
        <fgColor rgb="FFFFE994"/>
        <bgColor rgb="FFFFFFA6"/>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tru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left" vertical="center" textRotation="0" wrapText="true" indent="0" shrinkToFit="false"/>
      <protection locked="true" hidden="false"/>
    </xf>
    <xf numFmtId="164" fontId="4" fillId="3" borderId="1" xfId="0" applyFont="true" applyBorder="true" applyAlignment="true" applyProtection="true">
      <alignment horizontal="general" vertical="bottom" textRotation="0" wrapText="false" indent="0" shrinkToFit="false"/>
      <protection locked="true" hidden="false"/>
    </xf>
    <xf numFmtId="164" fontId="6" fillId="4" borderId="1" xfId="0" applyFont="true" applyBorder="true" applyAlignment="true" applyProtection="true">
      <alignment horizontal="center" vertical="center" textRotation="0" wrapText="true" indent="0" shrinkToFit="false"/>
      <protection locked="true" hidden="false"/>
    </xf>
    <xf numFmtId="164" fontId="7" fillId="5" borderId="2" xfId="0" applyFont="true" applyBorder="true" applyAlignment="true" applyProtection="false">
      <alignment horizontal="center" vertical="bottom" textRotation="0" wrapText="false" indent="0" shrinkToFit="false"/>
      <protection locked="true" hidden="false"/>
    </xf>
    <xf numFmtId="164" fontId="5" fillId="6" borderId="1" xfId="0" applyFont="true" applyBorder="true" applyAlignment="true" applyProtection="true">
      <alignment horizontal="left" vertical="center" textRotation="0" wrapText="true" indent="0" shrinkToFit="false"/>
      <protection locked="true" hidden="false"/>
    </xf>
    <xf numFmtId="164" fontId="5" fillId="6" borderId="1" xfId="0" applyFont="true" applyBorder="true" applyAlignment="true" applyProtection="true">
      <alignment horizontal="center" vertical="center" textRotation="0" wrapText="true" indent="0" shrinkToFit="false"/>
      <protection locked="true" hidden="false"/>
    </xf>
    <xf numFmtId="164" fontId="0" fillId="6" borderId="2"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true">
      <alignment horizontal="left" vertical="center" textRotation="0" wrapText="true" indent="0" shrinkToFit="false"/>
      <protection locked="true" hidden="false"/>
    </xf>
    <xf numFmtId="164" fontId="5" fillId="5" borderId="1" xfId="0" applyFont="true" applyBorder="true" applyAlignment="true" applyProtection="tru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6" borderId="2" xfId="0" applyFont="true" applyBorder="true" applyAlignment="true" applyProtection="false">
      <alignment horizontal="general" vertical="center" textRotation="0" wrapText="true" indent="0" shrinkToFit="false"/>
      <protection locked="true" hidden="false"/>
    </xf>
    <xf numFmtId="164" fontId="0" fillId="0" borderId="2" xfId="0" applyFont="false" applyBorder="true" applyAlignment="true" applyProtection="false">
      <alignment horizontal="general" vertical="bottom"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11111"/>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A6"/>
      <rgbColor rgb="FF99CCFF"/>
      <rgbColor rgb="FFFF99CC"/>
      <rgbColor rgb="FFCC99FF"/>
      <rgbColor rgb="FFFFE994"/>
      <rgbColor rgb="FF3366FF"/>
      <rgbColor rgb="FF33CCCC"/>
      <rgbColor rgb="FF99CC00"/>
      <rgbColor rgb="FFFFCC00"/>
      <rgbColor rgb="FFFF9900"/>
      <rgbColor rgb="FFFF6600"/>
      <rgbColor rgb="FF666699"/>
      <rgbColor rgb="FF969696"/>
      <rgbColor rgb="FF003366"/>
      <rgbColor rgb="FF339966"/>
      <rgbColor rgb="FF11111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D33" colorId="64" zoomScale="100" zoomScaleNormal="100" zoomScalePageLayoutView="100" workbookViewId="0">
      <selection pane="topLeft" activeCell="H39" activeCellId="0" sqref="H39"/>
    </sheetView>
  </sheetViews>
  <sheetFormatPr defaultColWidth="8.68359375" defaultRowHeight="15" customHeight="false" zeroHeight="false" outlineLevelRow="0" outlineLevelCol="0"/>
  <cols>
    <col collapsed="false" customWidth="true" hidden="false" outlineLevel="0" max="1" min="1" style="1" width="23"/>
    <col collapsed="false" customWidth="true" hidden="false" outlineLevel="0" max="2" min="2" style="1" width="32"/>
    <col collapsed="false" customWidth="true" hidden="false" outlineLevel="0" max="3" min="3" style="1" width="40"/>
    <col collapsed="false" customWidth="true" hidden="false" outlineLevel="0" max="5" min="4" style="1" width="46"/>
    <col collapsed="false" customWidth="true" hidden="false" outlineLevel="0" max="6" min="6" style="1" width="14"/>
    <col collapsed="false" customWidth="true" hidden="false" outlineLevel="0" max="7" min="7" style="0" width="27.08"/>
  </cols>
  <sheetData>
    <row r="1" customFormat="false" ht="15" hidden="false" customHeight="true" outlineLevel="0" collapsed="false">
      <c r="A1" s="2" t="s">
        <v>0</v>
      </c>
      <c r="B1" s="2"/>
      <c r="C1" s="2"/>
      <c r="D1" s="2"/>
      <c r="E1" s="2"/>
      <c r="F1" s="2"/>
    </row>
    <row r="2" customFormat="false" ht="15" hidden="false" customHeight="false" outlineLevel="0" collapsed="false">
      <c r="A2" s="2"/>
      <c r="B2" s="2"/>
      <c r="C2" s="2"/>
      <c r="D2" s="2"/>
      <c r="E2" s="2"/>
      <c r="F2" s="2"/>
    </row>
    <row r="3" customFormat="false" ht="15" hidden="false" customHeight="false" outlineLevel="0" collapsed="false">
      <c r="A3" s="2"/>
      <c r="B3" s="2"/>
      <c r="C3" s="2"/>
      <c r="D3" s="2"/>
      <c r="E3" s="2"/>
      <c r="F3" s="2"/>
    </row>
    <row r="5" customFormat="false" ht="15" hidden="false" customHeight="false" outlineLevel="0" collapsed="false">
      <c r="A5" s="3" t="s">
        <v>1</v>
      </c>
      <c r="B5" s="4"/>
      <c r="C5" s="4"/>
      <c r="D5" s="4"/>
      <c r="E5" s="4"/>
      <c r="F5" s="4"/>
    </row>
    <row r="6" customFormat="false" ht="15" hidden="false" customHeight="true" outlineLevel="0" collapsed="false">
      <c r="A6" s="5" t="s">
        <v>2</v>
      </c>
      <c r="B6" s="6" t="s">
        <v>3</v>
      </c>
      <c r="C6" s="6"/>
      <c r="D6" s="6"/>
      <c r="E6" s="6"/>
      <c r="F6" s="6"/>
    </row>
    <row r="7" customFormat="false" ht="15" hidden="false" customHeight="true" outlineLevel="0" collapsed="false">
      <c r="A7" s="5" t="s">
        <v>4</v>
      </c>
      <c r="B7" s="6" t="s">
        <v>5</v>
      </c>
      <c r="C7" s="6"/>
      <c r="D7" s="6"/>
      <c r="E7" s="6"/>
      <c r="F7" s="6"/>
    </row>
    <row r="8" customFormat="false" ht="15" hidden="false" customHeight="true" outlineLevel="0" collapsed="false">
      <c r="A8" s="5" t="s">
        <v>6</v>
      </c>
      <c r="B8" s="6" t="s">
        <v>7</v>
      </c>
      <c r="C8" s="6"/>
      <c r="D8" s="6"/>
      <c r="E8" s="6"/>
      <c r="F8" s="6"/>
    </row>
    <row r="9" customFormat="false" ht="15" hidden="false" customHeight="true" outlineLevel="0" collapsed="false">
      <c r="A9" s="5" t="s">
        <v>8</v>
      </c>
      <c r="B9" s="6" t="s">
        <v>9</v>
      </c>
      <c r="C9" s="6"/>
      <c r="D9" s="6"/>
      <c r="E9" s="6"/>
      <c r="F9" s="6"/>
    </row>
    <row r="10" customFormat="false" ht="15" hidden="false" customHeight="true" outlineLevel="0" collapsed="false">
      <c r="A10" s="5" t="s">
        <v>10</v>
      </c>
      <c r="B10" s="6" t="s">
        <v>11</v>
      </c>
      <c r="C10" s="6"/>
      <c r="D10" s="6"/>
      <c r="E10" s="6"/>
      <c r="F10" s="6"/>
    </row>
    <row r="11" customFormat="false" ht="15" hidden="false" customHeight="true" outlineLevel="0" collapsed="false">
      <c r="A11" s="5" t="s">
        <v>12</v>
      </c>
      <c r="B11" s="6" t="s">
        <v>13</v>
      </c>
      <c r="C11" s="6"/>
      <c r="D11" s="6"/>
      <c r="E11" s="6"/>
      <c r="F11" s="6"/>
    </row>
    <row r="12" customFormat="false" ht="15" hidden="false" customHeight="true" outlineLevel="0" collapsed="false">
      <c r="A12" s="5" t="s">
        <v>14</v>
      </c>
      <c r="B12" s="6" t="s">
        <v>15</v>
      </c>
      <c r="C12" s="6"/>
      <c r="D12" s="6"/>
      <c r="E12" s="6"/>
      <c r="F12" s="6"/>
    </row>
    <row r="13" customFormat="false" ht="15" hidden="false" customHeight="true" outlineLevel="0" collapsed="false">
      <c r="A13" s="5" t="s">
        <v>16</v>
      </c>
      <c r="B13" s="6" t="s">
        <v>17</v>
      </c>
      <c r="C13" s="6"/>
      <c r="D13" s="6"/>
      <c r="E13" s="6"/>
      <c r="F13" s="6"/>
    </row>
    <row r="14" customFormat="false" ht="15" hidden="false" customHeight="true" outlineLevel="0" collapsed="false">
      <c r="A14" s="5" t="s">
        <v>18</v>
      </c>
      <c r="B14" s="6" t="s">
        <v>19</v>
      </c>
      <c r="C14" s="6"/>
      <c r="D14" s="6"/>
      <c r="E14" s="6"/>
      <c r="F14" s="6"/>
    </row>
    <row r="15" customFormat="false" ht="15" hidden="false" customHeight="true" outlineLevel="0" collapsed="false">
      <c r="A15" s="5" t="s">
        <v>20</v>
      </c>
      <c r="B15" s="6" t="s">
        <v>21</v>
      </c>
      <c r="C15" s="6"/>
      <c r="D15" s="6"/>
      <c r="E15" s="6"/>
      <c r="F15" s="6"/>
    </row>
    <row r="16" customFormat="false" ht="15" hidden="false" customHeight="true" outlineLevel="0" collapsed="false">
      <c r="A16" s="5" t="s">
        <v>22</v>
      </c>
      <c r="B16" s="6" t="s">
        <v>23</v>
      </c>
      <c r="C16" s="6"/>
      <c r="D16" s="6"/>
      <c r="E16" s="6"/>
      <c r="F16" s="6"/>
    </row>
    <row r="17" customFormat="false" ht="23.85" hidden="false" customHeight="true" outlineLevel="0" collapsed="false">
      <c r="A17" s="5" t="s">
        <v>24</v>
      </c>
      <c r="B17" s="6" t="s">
        <v>25</v>
      </c>
      <c r="C17" s="6"/>
      <c r="D17" s="6"/>
      <c r="E17" s="6"/>
      <c r="F17" s="6"/>
    </row>
    <row r="18" customFormat="false" ht="15" hidden="false" customHeight="true" outlineLevel="0" collapsed="false">
      <c r="A18" s="5" t="s">
        <v>26</v>
      </c>
      <c r="B18" s="6" t="s">
        <v>27</v>
      </c>
      <c r="C18" s="6"/>
      <c r="D18" s="6"/>
      <c r="E18" s="6"/>
      <c r="F18" s="6"/>
    </row>
    <row r="21" customFormat="false" ht="15" hidden="false" customHeight="false" outlineLevel="0" collapsed="false">
      <c r="A21" s="7" t="s">
        <v>28</v>
      </c>
      <c r="B21" s="7"/>
      <c r="C21" s="7"/>
      <c r="D21" s="7"/>
      <c r="E21" s="7"/>
      <c r="F21" s="7"/>
    </row>
    <row r="22" customFormat="false" ht="15" hidden="false" customHeight="false" outlineLevel="0" collapsed="false">
      <c r="A22" s="8" t="s">
        <v>29</v>
      </c>
      <c r="B22" s="8" t="s">
        <v>30</v>
      </c>
      <c r="C22" s="8" t="s">
        <v>31</v>
      </c>
      <c r="D22" s="8" t="s">
        <v>32</v>
      </c>
      <c r="E22" s="8" t="s">
        <v>33</v>
      </c>
      <c r="F22" s="8" t="s">
        <v>34</v>
      </c>
      <c r="G22" s="9" t="s">
        <v>35</v>
      </c>
    </row>
    <row r="23" customFormat="false" ht="33.75" hidden="false" customHeight="true" outlineLevel="0" collapsed="false">
      <c r="A23" s="5" t="s">
        <v>36</v>
      </c>
      <c r="B23" s="5" t="s">
        <v>37</v>
      </c>
      <c r="C23" s="6" t="s">
        <v>38</v>
      </c>
      <c r="D23" s="10" t="s">
        <v>39</v>
      </c>
      <c r="E23" s="10" t="s">
        <v>40</v>
      </c>
      <c r="F23" s="11" t="s">
        <v>41</v>
      </c>
      <c r="G23" s="12" t="s">
        <v>42</v>
      </c>
    </row>
    <row r="24" customFormat="false" ht="33.75" hidden="false" customHeight="true" outlineLevel="0" collapsed="false">
      <c r="A24" s="5"/>
      <c r="B24" s="5"/>
      <c r="C24" s="5"/>
      <c r="D24" s="10" t="s">
        <v>43</v>
      </c>
      <c r="E24" s="10" t="s">
        <v>44</v>
      </c>
      <c r="F24" s="11" t="s">
        <v>41</v>
      </c>
      <c r="G24" s="12"/>
    </row>
    <row r="25" customFormat="false" ht="33.75" hidden="false" customHeight="true" outlineLevel="0" collapsed="false">
      <c r="A25" s="5"/>
      <c r="B25" s="5"/>
      <c r="C25" s="5"/>
      <c r="D25" s="10" t="s">
        <v>45</v>
      </c>
      <c r="E25" s="10" t="s">
        <v>46</v>
      </c>
      <c r="F25" s="11" t="s">
        <v>41</v>
      </c>
      <c r="G25" s="12"/>
    </row>
    <row r="26" customFormat="false" ht="33.75" hidden="false" customHeight="true" outlineLevel="0" collapsed="false">
      <c r="A26" s="5"/>
      <c r="B26" s="5"/>
      <c r="C26" s="5"/>
      <c r="D26" s="10" t="s">
        <v>47</v>
      </c>
      <c r="E26" s="10" t="s">
        <v>48</v>
      </c>
      <c r="F26" s="11" t="s">
        <v>41</v>
      </c>
      <c r="G26" s="12"/>
    </row>
    <row r="27" customFormat="false" ht="33.75" hidden="false" customHeight="true" outlineLevel="0" collapsed="false">
      <c r="A27" s="5"/>
      <c r="B27" s="5"/>
      <c r="C27" s="5"/>
      <c r="D27" s="13"/>
      <c r="E27" s="13"/>
      <c r="F27" s="14"/>
      <c r="G27" s="15"/>
    </row>
    <row r="28" customFormat="false" ht="33.75" hidden="false" customHeight="true" outlineLevel="0" collapsed="false">
      <c r="A28" s="5"/>
      <c r="B28" s="5"/>
      <c r="C28" s="5"/>
      <c r="D28" s="10" t="s">
        <v>49</v>
      </c>
      <c r="E28" s="10" t="s">
        <v>50</v>
      </c>
      <c r="F28" s="11" t="s">
        <v>41</v>
      </c>
      <c r="G28" s="16" t="s">
        <v>51</v>
      </c>
    </row>
    <row r="29" customFormat="false" ht="33.75" hidden="false" customHeight="true" outlineLevel="0" collapsed="false">
      <c r="A29" s="5"/>
      <c r="B29" s="5"/>
      <c r="C29" s="5"/>
      <c r="D29" s="10" t="s">
        <v>52</v>
      </c>
      <c r="E29" s="10" t="s">
        <v>53</v>
      </c>
      <c r="F29" s="11" t="s">
        <v>41</v>
      </c>
      <c r="G29" s="16"/>
    </row>
    <row r="30" customFormat="false" ht="33.75" hidden="false" customHeight="true" outlineLevel="0" collapsed="false">
      <c r="A30" s="5"/>
      <c r="B30" s="5"/>
      <c r="C30" s="5"/>
      <c r="D30" s="10" t="s">
        <v>54</v>
      </c>
      <c r="E30" s="10" t="s">
        <v>55</v>
      </c>
      <c r="F30" s="11" t="s">
        <v>56</v>
      </c>
      <c r="G30" s="16"/>
    </row>
    <row r="31" customFormat="false" ht="33.75" hidden="false" customHeight="true" outlineLevel="0" collapsed="false">
      <c r="A31" s="5"/>
      <c r="B31" s="5"/>
      <c r="C31" s="5"/>
      <c r="D31" s="13"/>
      <c r="E31" s="13"/>
      <c r="F31" s="14"/>
      <c r="G31" s="17"/>
    </row>
    <row r="32" customFormat="false" ht="58.95" hidden="false" customHeight="true" outlineLevel="0" collapsed="false">
      <c r="A32" s="5"/>
      <c r="B32" s="5"/>
      <c r="C32" s="5"/>
      <c r="D32" s="10" t="s">
        <v>57</v>
      </c>
      <c r="E32" s="10" t="s">
        <v>58</v>
      </c>
      <c r="F32" s="11" t="s">
        <v>56</v>
      </c>
      <c r="G32" s="16" t="s">
        <v>59</v>
      </c>
    </row>
    <row r="33" s="19" customFormat="true" ht="33.75" hidden="false" customHeight="true" outlineLevel="0" collapsed="false">
      <c r="A33" s="5"/>
      <c r="B33" s="5"/>
      <c r="C33" s="5"/>
      <c r="D33" s="13"/>
      <c r="E33" s="13"/>
      <c r="F33" s="14"/>
      <c r="G33" s="18"/>
    </row>
    <row r="34" customFormat="false" ht="64.15" hidden="false" customHeight="true" outlineLevel="0" collapsed="false">
      <c r="A34" s="5"/>
      <c r="B34" s="5"/>
      <c r="C34" s="5"/>
      <c r="D34" s="10" t="s">
        <v>60</v>
      </c>
      <c r="E34" s="10" t="s">
        <v>61</v>
      </c>
      <c r="F34" s="11" t="s">
        <v>56</v>
      </c>
      <c r="G34" s="16" t="s">
        <v>62</v>
      </c>
    </row>
    <row r="35" customFormat="false" ht="33.75" hidden="false" customHeight="true" outlineLevel="0" collapsed="false">
      <c r="A35" s="5"/>
      <c r="B35" s="5"/>
      <c r="C35" s="5"/>
      <c r="D35" s="10" t="s">
        <v>63</v>
      </c>
      <c r="E35" s="10" t="s">
        <v>64</v>
      </c>
      <c r="F35" s="11" t="s">
        <v>56</v>
      </c>
      <c r="G35" s="16"/>
    </row>
    <row r="36" customFormat="false" ht="33.75" hidden="false" customHeight="true" outlineLevel="0" collapsed="false">
      <c r="A36" s="5"/>
      <c r="B36" s="5"/>
      <c r="C36" s="5"/>
      <c r="D36" s="10" t="s">
        <v>65</v>
      </c>
      <c r="E36" s="10" t="s">
        <v>66</v>
      </c>
      <c r="F36" s="11" t="s">
        <v>56</v>
      </c>
      <c r="G36" s="16"/>
    </row>
    <row r="37" customFormat="false" ht="33.75" hidden="false" customHeight="true" outlineLevel="0" collapsed="false">
      <c r="A37" s="5"/>
      <c r="B37" s="5"/>
      <c r="C37" s="5"/>
      <c r="D37" s="10" t="s">
        <v>67</v>
      </c>
      <c r="E37" s="10" t="s">
        <v>68</v>
      </c>
      <c r="F37" s="11" t="s">
        <v>56</v>
      </c>
      <c r="G37" s="16"/>
    </row>
    <row r="38" customFormat="false" ht="33.75" hidden="false" customHeight="true" outlineLevel="0" collapsed="false">
      <c r="A38" s="5"/>
      <c r="B38" s="5"/>
      <c r="C38" s="5"/>
      <c r="D38" s="10" t="s">
        <v>69</v>
      </c>
      <c r="E38" s="10" t="s">
        <v>70</v>
      </c>
      <c r="F38" s="11" t="s">
        <v>41</v>
      </c>
      <c r="G38" s="16"/>
    </row>
  </sheetData>
  <mergeCells count="22">
    <mergeCell ref="A1:F3"/>
    <mergeCell ref="B5:F5"/>
    <mergeCell ref="B6:F6"/>
    <mergeCell ref="B7:F7"/>
    <mergeCell ref="B8:F8"/>
    <mergeCell ref="B9:F9"/>
    <mergeCell ref="B10:F10"/>
    <mergeCell ref="B11:F11"/>
    <mergeCell ref="B12:F12"/>
    <mergeCell ref="B13:F13"/>
    <mergeCell ref="B14:F14"/>
    <mergeCell ref="B15:F15"/>
    <mergeCell ref="B16:F16"/>
    <mergeCell ref="B17:F17"/>
    <mergeCell ref="B18:F18"/>
    <mergeCell ref="A21:F21"/>
    <mergeCell ref="A23:A38"/>
    <mergeCell ref="B23:B38"/>
    <mergeCell ref="C23:C38"/>
    <mergeCell ref="G23:G26"/>
    <mergeCell ref="G28:G30"/>
    <mergeCell ref="G34:G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1"/>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pane xSplit="0" ySplit="1" topLeftCell="A866" activePane="bottomLeft" state="frozen"/>
      <selection pane="topLeft" activeCell="C1" activeCellId="0" sqref="C1"/>
      <selection pane="bottomLeft" activeCell="H874" activeCellId="0" sqref="H874"/>
    </sheetView>
  </sheetViews>
  <sheetFormatPr defaultColWidth="8.68359375" defaultRowHeight="15" customHeight="false" zeroHeight="false" outlineLevelRow="0" outlineLevelCol="0"/>
  <cols>
    <col collapsed="false" customWidth="true" hidden="false" outlineLevel="0" max="1" min="1" style="1" width="12"/>
    <col collapsed="false" customWidth="true" hidden="false" outlineLevel="0" max="3" min="2" style="1" width="18"/>
    <col collapsed="false" customWidth="true" hidden="false" outlineLevel="0" max="4" min="4" style="1" width="20"/>
    <col collapsed="false" customWidth="true" hidden="false" outlineLevel="0" max="5" min="5" style="1" width="11"/>
    <col collapsed="false" customWidth="true" hidden="false" outlineLevel="0" max="6" min="6" style="1" width="12"/>
    <col collapsed="false" customWidth="true" hidden="false" outlineLevel="0" max="7" min="7" style="1" width="13"/>
    <col collapsed="false" customWidth="true" hidden="false" outlineLevel="0" max="8" min="8" style="1" width="11"/>
    <col collapsed="false" customWidth="true" hidden="false" outlineLevel="0" max="9" min="9" style="1" width="13"/>
    <col collapsed="false" customWidth="true" hidden="false" outlineLevel="0" max="10" min="10" style="1" width="15"/>
    <col collapsed="false" customWidth="true" hidden="false" outlineLevel="0" max="11" min="11" style="1" width="13"/>
    <col collapsed="false" customWidth="true" hidden="false" outlineLevel="0" max="12" min="12" style="1" width="28.06"/>
    <col collapsed="false" customWidth="true" hidden="false" outlineLevel="0" max="13" min="13" style="1" width="13"/>
  </cols>
  <sheetData>
    <row r="1" customFormat="false" ht="15" hidden="false" customHeight="false" outlineLevel="0" collapsed="false">
      <c r="A1" s="20" t="s">
        <v>2</v>
      </c>
      <c r="B1" s="20" t="s">
        <v>4</v>
      </c>
      <c r="C1" s="20" t="s">
        <v>6</v>
      </c>
      <c r="D1" s="20" t="s">
        <v>8</v>
      </c>
      <c r="E1" s="20" t="s">
        <v>10</v>
      </c>
      <c r="F1" s="20" t="s">
        <v>12</v>
      </c>
      <c r="G1" s="20" t="s">
        <v>14</v>
      </c>
      <c r="H1" s="20" t="s">
        <v>16</v>
      </c>
      <c r="I1" s="20" t="s">
        <v>18</v>
      </c>
      <c r="J1" s="20" t="s">
        <v>71</v>
      </c>
      <c r="K1" s="20" t="s">
        <v>22</v>
      </c>
      <c r="L1" s="20" t="s">
        <v>24</v>
      </c>
      <c r="M1" s="20" t="s">
        <v>72</v>
      </c>
    </row>
    <row r="2" customFormat="false" ht="15" hidden="false" customHeight="false" outlineLevel="0" collapsed="false">
      <c r="A2" s="21" t="s">
        <v>73</v>
      </c>
      <c r="B2" s="21" t="s">
        <v>74</v>
      </c>
      <c r="C2" s="21" t="s">
        <v>75</v>
      </c>
      <c r="D2" s="21" t="s">
        <v>76</v>
      </c>
      <c r="E2" s="22" t="n">
        <v>23.78</v>
      </c>
      <c r="F2" s="22" t="n">
        <v>38.89</v>
      </c>
      <c r="G2" s="23" t="n">
        <v>135</v>
      </c>
      <c r="H2" s="23" t="n">
        <v>118</v>
      </c>
      <c r="I2" s="23" t="n">
        <f aca="false">G2-H2</f>
        <v>17</v>
      </c>
      <c r="J2" s="21" t="str">
        <f aca="false">IF(I2&lt;50,"LOW-IN-STOCK","IN-STOCK")</f>
        <v>LOW-IN-STOCK</v>
      </c>
      <c r="K2" s="22" t="n">
        <f aca="false">E2*G2</f>
        <v>3210.3</v>
      </c>
      <c r="L2" s="22" t="n">
        <f aca="false">F2*H2</f>
        <v>4589.02</v>
      </c>
      <c r="M2" s="22" t="n">
        <f aca="false">L2-K2</f>
        <v>1378.72</v>
      </c>
    </row>
    <row r="3" customFormat="false" ht="15" hidden="false" customHeight="false" outlineLevel="0" collapsed="false">
      <c r="A3" s="21" t="s">
        <v>77</v>
      </c>
      <c r="B3" s="21" t="s">
        <v>78</v>
      </c>
      <c r="C3" s="21" t="s">
        <v>79</v>
      </c>
      <c r="D3" s="21" t="s">
        <v>80</v>
      </c>
      <c r="E3" s="22" t="n">
        <v>15.67</v>
      </c>
      <c r="F3" s="22" t="n">
        <v>24.53</v>
      </c>
      <c r="G3" s="23" t="n">
        <v>86</v>
      </c>
      <c r="H3" s="23" t="n">
        <v>10</v>
      </c>
      <c r="I3" s="23" t="n">
        <f aca="false">G3-H3</f>
        <v>76</v>
      </c>
      <c r="J3" s="21" t="str">
        <f aca="false">IF(I3&lt;50,"LOW-IN-STOCK","IN-STOCK")</f>
        <v>IN-STOCK</v>
      </c>
      <c r="K3" s="22" t="n">
        <f aca="false">E3*G3</f>
        <v>1347.62</v>
      </c>
      <c r="L3" s="22" t="n">
        <f aca="false">F3*H3</f>
        <v>245.3</v>
      </c>
      <c r="M3" s="22" t="n">
        <f aca="false">L3-K3</f>
        <v>-1102.32</v>
      </c>
    </row>
    <row r="4" customFormat="false" ht="15" hidden="false" customHeight="false" outlineLevel="0" collapsed="false">
      <c r="A4" s="21" t="s">
        <v>81</v>
      </c>
      <c r="B4" s="21" t="s">
        <v>82</v>
      </c>
      <c r="C4" s="21" t="s">
        <v>83</v>
      </c>
      <c r="D4" s="21" t="s">
        <v>84</v>
      </c>
      <c r="E4" s="22" t="n">
        <v>5.59</v>
      </c>
      <c r="F4" s="22" t="n">
        <v>11.88</v>
      </c>
      <c r="G4" s="23" t="n">
        <v>319</v>
      </c>
      <c r="H4" s="23" t="n">
        <v>195</v>
      </c>
      <c r="I4" s="23" t="n">
        <f aca="false">G4-H4</f>
        <v>124</v>
      </c>
      <c r="J4" s="21" t="str">
        <f aca="false">IF(I4&lt;50,"LOW-IN-STOCK","IN-STOCK")</f>
        <v>IN-STOCK</v>
      </c>
      <c r="K4" s="22" t="n">
        <f aca="false">E4*G4</f>
        <v>1783.21</v>
      </c>
      <c r="L4" s="22" t="n">
        <f aca="false">F4*H4</f>
        <v>2316.6</v>
      </c>
      <c r="M4" s="22" t="n">
        <f aca="false">L4-K4</f>
        <v>533.39</v>
      </c>
    </row>
    <row r="5" customFormat="false" ht="15" hidden="false" customHeight="false" outlineLevel="0" collapsed="false">
      <c r="A5" s="21" t="s">
        <v>85</v>
      </c>
      <c r="B5" s="21" t="s">
        <v>86</v>
      </c>
      <c r="C5" s="21" t="s">
        <v>87</v>
      </c>
      <c r="D5" s="21" t="s">
        <v>88</v>
      </c>
      <c r="E5" s="22" t="n">
        <v>9.72</v>
      </c>
      <c r="F5" s="22" t="n">
        <v>18.01</v>
      </c>
      <c r="G5" s="23" t="n">
        <v>173</v>
      </c>
      <c r="H5" s="23" t="n">
        <v>140</v>
      </c>
      <c r="I5" s="23" t="n">
        <f aca="false">G5-H5</f>
        <v>33</v>
      </c>
      <c r="J5" s="21" t="str">
        <f aca="false">IF(I5&lt;50,"LOW-IN-STOCK","IN-STOCK")</f>
        <v>LOW-IN-STOCK</v>
      </c>
      <c r="K5" s="22" t="n">
        <f aca="false">E5*G5</f>
        <v>1681.56</v>
      </c>
      <c r="L5" s="22" t="n">
        <f aca="false">F5*H5</f>
        <v>2521.4</v>
      </c>
      <c r="M5" s="22" t="n">
        <f aca="false">L5-K5</f>
        <v>839.84</v>
      </c>
    </row>
    <row r="6" customFormat="false" ht="15" hidden="false" customHeight="false" outlineLevel="0" collapsed="false">
      <c r="A6" s="21" t="s">
        <v>89</v>
      </c>
      <c r="B6" s="21" t="s">
        <v>90</v>
      </c>
      <c r="C6" s="21" t="s">
        <v>75</v>
      </c>
      <c r="D6" s="21" t="s">
        <v>80</v>
      </c>
      <c r="E6" s="22" t="n">
        <v>8.22</v>
      </c>
      <c r="F6" s="22" t="n">
        <v>13.9</v>
      </c>
      <c r="G6" s="23" t="n">
        <v>32</v>
      </c>
      <c r="H6" s="23" t="n">
        <v>8</v>
      </c>
      <c r="I6" s="23" t="n">
        <f aca="false">G6-H6</f>
        <v>24</v>
      </c>
      <c r="J6" s="21" t="str">
        <f aca="false">IF(I6&lt;50,"LOW-IN-STOCK","IN-STOCK")</f>
        <v>LOW-IN-STOCK</v>
      </c>
      <c r="K6" s="22" t="n">
        <f aca="false">E6*G6</f>
        <v>263.04</v>
      </c>
      <c r="L6" s="22" t="n">
        <f aca="false">F6*H6</f>
        <v>111.2</v>
      </c>
      <c r="M6" s="22" t="n">
        <f aca="false">L6-K6</f>
        <v>-151.84</v>
      </c>
    </row>
    <row r="7" customFormat="false" ht="15" hidden="false" customHeight="false" outlineLevel="0" collapsed="false">
      <c r="A7" s="21" t="s">
        <v>91</v>
      </c>
      <c r="B7" s="21" t="s">
        <v>92</v>
      </c>
      <c r="C7" s="21" t="s">
        <v>93</v>
      </c>
      <c r="D7" s="21" t="s">
        <v>84</v>
      </c>
      <c r="E7" s="22" t="n">
        <v>6.94</v>
      </c>
      <c r="F7" s="22" t="n">
        <v>12.18</v>
      </c>
      <c r="G7" s="23" t="n">
        <v>74</v>
      </c>
      <c r="H7" s="23" t="n">
        <v>52</v>
      </c>
      <c r="I7" s="23" t="n">
        <f aca="false">G7-H7</f>
        <v>22</v>
      </c>
      <c r="J7" s="21" t="str">
        <f aca="false">IF(I7&lt;50,"LOW-IN-STOCK","IN-STOCK")</f>
        <v>LOW-IN-STOCK</v>
      </c>
      <c r="K7" s="22" t="n">
        <f aca="false">E7*G7</f>
        <v>513.56</v>
      </c>
      <c r="L7" s="22" t="n">
        <f aca="false">F7*H7</f>
        <v>633.36</v>
      </c>
      <c r="M7" s="22" t="n">
        <f aca="false">L7-K7</f>
        <v>119.8</v>
      </c>
    </row>
    <row r="8" customFormat="false" ht="15" hidden="false" customHeight="false" outlineLevel="0" collapsed="false">
      <c r="A8" s="21" t="s">
        <v>94</v>
      </c>
      <c r="B8" s="21" t="s">
        <v>95</v>
      </c>
      <c r="C8" s="21" t="s">
        <v>75</v>
      </c>
      <c r="D8" s="21" t="s">
        <v>88</v>
      </c>
      <c r="E8" s="22" t="n">
        <v>6.74</v>
      </c>
      <c r="F8" s="22" t="n">
        <v>13.47</v>
      </c>
      <c r="G8" s="23" t="n">
        <v>21</v>
      </c>
      <c r="H8" s="23" t="n">
        <v>6</v>
      </c>
      <c r="I8" s="23" t="n">
        <f aca="false">G8-H8</f>
        <v>15</v>
      </c>
      <c r="J8" s="21" t="str">
        <f aca="false">IF(I8&lt;50,"LOW-IN-STOCK","IN-STOCK")</f>
        <v>LOW-IN-STOCK</v>
      </c>
      <c r="K8" s="22" t="n">
        <f aca="false">E8*G8</f>
        <v>141.54</v>
      </c>
      <c r="L8" s="22" t="n">
        <f aca="false">F8*H8</f>
        <v>80.82</v>
      </c>
      <c r="M8" s="22" t="n">
        <f aca="false">L8-K8</f>
        <v>-60.72</v>
      </c>
    </row>
    <row r="9" customFormat="false" ht="15" hidden="false" customHeight="false" outlineLevel="0" collapsed="false">
      <c r="A9" s="21" t="s">
        <v>96</v>
      </c>
      <c r="B9" s="21" t="s">
        <v>97</v>
      </c>
      <c r="C9" s="21" t="s">
        <v>83</v>
      </c>
      <c r="D9" s="21" t="s">
        <v>84</v>
      </c>
      <c r="E9" s="22" t="n">
        <v>7.23</v>
      </c>
      <c r="F9" s="22" t="n">
        <v>9.67</v>
      </c>
      <c r="G9" s="23" t="n">
        <v>353</v>
      </c>
      <c r="H9" s="23" t="n">
        <v>72</v>
      </c>
      <c r="I9" s="23" t="n">
        <f aca="false">G9-H9</f>
        <v>281</v>
      </c>
      <c r="J9" s="21" t="str">
        <f aca="false">IF(I9&lt;50,"LOW-IN-STOCK","IN-STOCK")</f>
        <v>IN-STOCK</v>
      </c>
      <c r="K9" s="22" t="n">
        <f aca="false">E9*G9</f>
        <v>2552.19</v>
      </c>
      <c r="L9" s="22" t="n">
        <f aca="false">F9*H9</f>
        <v>696.24</v>
      </c>
      <c r="M9" s="22" t="n">
        <f aca="false">L9-K9</f>
        <v>-1855.95</v>
      </c>
    </row>
    <row r="10" customFormat="false" ht="15" hidden="false" customHeight="false" outlineLevel="0" collapsed="false">
      <c r="A10" s="21" t="s">
        <v>98</v>
      </c>
      <c r="B10" s="21" t="s">
        <v>92</v>
      </c>
      <c r="C10" s="21" t="s">
        <v>93</v>
      </c>
      <c r="D10" s="21" t="s">
        <v>99</v>
      </c>
      <c r="E10" s="22" t="n">
        <v>10.6</v>
      </c>
      <c r="F10" s="22" t="n">
        <v>16.76</v>
      </c>
      <c r="G10" s="23" t="n">
        <v>196</v>
      </c>
      <c r="H10" s="23" t="n">
        <v>59</v>
      </c>
      <c r="I10" s="23" t="n">
        <f aca="false">G10-H10</f>
        <v>137</v>
      </c>
      <c r="J10" s="21" t="str">
        <f aca="false">IF(I10&lt;50,"LOW-IN-STOCK","IN-STOCK")</f>
        <v>IN-STOCK</v>
      </c>
      <c r="K10" s="22" t="n">
        <f aca="false">E10*G10</f>
        <v>2077.6</v>
      </c>
      <c r="L10" s="22" t="n">
        <f aca="false">F10*H10</f>
        <v>988.84</v>
      </c>
      <c r="M10" s="22" t="n">
        <f aca="false">L10-K10</f>
        <v>-1088.76</v>
      </c>
    </row>
    <row r="11" customFormat="false" ht="15" hidden="false" customHeight="false" outlineLevel="0" collapsed="false">
      <c r="A11" s="21" t="s">
        <v>100</v>
      </c>
      <c r="B11" s="21" t="s">
        <v>101</v>
      </c>
      <c r="C11" s="21" t="s">
        <v>83</v>
      </c>
      <c r="D11" s="21" t="s">
        <v>102</v>
      </c>
      <c r="E11" s="22" t="n">
        <v>5.54</v>
      </c>
      <c r="F11" s="22" t="n">
        <v>9.54</v>
      </c>
      <c r="G11" s="23" t="n">
        <v>38</v>
      </c>
      <c r="H11" s="23" t="n">
        <v>14</v>
      </c>
      <c r="I11" s="23" t="n">
        <f aca="false">G11-H11</f>
        <v>24</v>
      </c>
      <c r="J11" s="21" t="str">
        <f aca="false">IF(I11&lt;50,"LOW-IN-STOCK","IN-STOCK")</f>
        <v>LOW-IN-STOCK</v>
      </c>
      <c r="K11" s="22" t="n">
        <f aca="false">E11*G11</f>
        <v>210.52</v>
      </c>
      <c r="L11" s="22" t="n">
        <f aca="false">F11*H11</f>
        <v>133.56</v>
      </c>
      <c r="M11" s="22" t="n">
        <f aca="false">L11-K11</f>
        <v>-76.96</v>
      </c>
    </row>
    <row r="12" customFormat="false" ht="15" hidden="false" customHeight="false" outlineLevel="0" collapsed="false">
      <c r="A12" s="21" t="s">
        <v>103</v>
      </c>
      <c r="B12" s="21" t="s">
        <v>104</v>
      </c>
      <c r="C12" s="21" t="s">
        <v>75</v>
      </c>
      <c r="D12" s="21" t="s">
        <v>102</v>
      </c>
      <c r="E12" s="22" t="n">
        <v>9.67</v>
      </c>
      <c r="F12" s="22" t="n">
        <v>14.73</v>
      </c>
      <c r="G12" s="23" t="n">
        <v>150</v>
      </c>
      <c r="H12" s="23" t="n">
        <v>83</v>
      </c>
      <c r="I12" s="23" t="n">
        <f aca="false">G12-H12</f>
        <v>67</v>
      </c>
      <c r="J12" s="21" t="str">
        <f aca="false">IF(I12&lt;50,"LOW-IN-STOCK","IN-STOCK")</f>
        <v>IN-STOCK</v>
      </c>
      <c r="K12" s="22" t="n">
        <f aca="false">E12*G12</f>
        <v>1450.5</v>
      </c>
      <c r="L12" s="22" t="n">
        <f aca="false">F12*H12</f>
        <v>1222.59</v>
      </c>
      <c r="M12" s="22" t="n">
        <f aca="false">L12-K12</f>
        <v>-227.91</v>
      </c>
    </row>
    <row r="13" customFormat="false" ht="15" hidden="false" customHeight="false" outlineLevel="0" collapsed="false">
      <c r="A13" s="21" t="s">
        <v>105</v>
      </c>
      <c r="B13" s="21" t="s">
        <v>106</v>
      </c>
      <c r="C13" s="21" t="s">
        <v>107</v>
      </c>
      <c r="D13" s="21" t="s">
        <v>108</v>
      </c>
      <c r="E13" s="22" t="n">
        <v>6.41</v>
      </c>
      <c r="F13" s="22" t="n">
        <v>11.37</v>
      </c>
      <c r="G13" s="23" t="n">
        <v>489</v>
      </c>
      <c r="H13" s="23" t="n">
        <v>211</v>
      </c>
      <c r="I13" s="23" t="n">
        <f aca="false">G13-H13</f>
        <v>278</v>
      </c>
      <c r="J13" s="21" t="str">
        <f aca="false">IF(I13&lt;50,"LOW-IN-STOCK","IN-STOCK")</f>
        <v>IN-STOCK</v>
      </c>
      <c r="K13" s="22" t="n">
        <f aca="false">E13*G13</f>
        <v>3134.49</v>
      </c>
      <c r="L13" s="22" t="n">
        <f aca="false">F13*H13</f>
        <v>2399.07</v>
      </c>
      <c r="M13" s="22" t="n">
        <f aca="false">L13-K13</f>
        <v>-735.420000000001</v>
      </c>
    </row>
    <row r="14" customFormat="false" ht="15" hidden="false" customHeight="false" outlineLevel="0" collapsed="false">
      <c r="A14" s="21" t="s">
        <v>109</v>
      </c>
      <c r="B14" s="21" t="s">
        <v>110</v>
      </c>
      <c r="C14" s="21" t="s">
        <v>93</v>
      </c>
      <c r="D14" s="21" t="s">
        <v>76</v>
      </c>
      <c r="E14" s="22" t="n">
        <v>11.77</v>
      </c>
      <c r="F14" s="22" t="n">
        <v>25.18</v>
      </c>
      <c r="G14" s="23" t="n">
        <v>139</v>
      </c>
      <c r="H14" s="23" t="n">
        <v>14</v>
      </c>
      <c r="I14" s="23" t="n">
        <f aca="false">G14-H14</f>
        <v>125</v>
      </c>
      <c r="J14" s="21" t="str">
        <f aca="false">IF(I14&lt;50,"LOW-IN-STOCK","IN-STOCK")</f>
        <v>IN-STOCK</v>
      </c>
      <c r="K14" s="22" t="n">
        <f aca="false">E14*G14</f>
        <v>1636.03</v>
      </c>
      <c r="L14" s="22" t="n">
        <f aca="false">F14*H14</f>
        <v>352.52</v>
      </c>
      <c r="M14" s="22" t="n">
        <f aca="false">L14-K14</f>
        <v>-1283.51</v>
      </c>
    </row>
    <row r="15" customFormat="false" ht="15" hidden="false" customHeight="false" outlineLevel="0" collapsed="false">
      <c r="A15" s="21" t="s">
        <v>111</v>
      </c>
      <c r="B15" s="21" t="s">
        <v>112</v>
      </c>
      <c r="C15" s="21" t="s">
        <v>113</v>
      </c>
      <c r="D15" s="21" t="s">
        <v>114</v>
      </c>
      <c r="E15" s="22" t="n">
        <v>33.16</v>
      </c>
      <c r="F15" s="22" t="n">
        <v>65.63</v>
      </c>
      <c r="G15" s="23" t="n">
        <v>150</v>
      </c>
      <c r="H15" s="23" t="n">
        <v>110</v>
      </c>
      <c r="I15" s="23" t="n">
        <f aca="false">G15-H15</f>
        <v>40</v>
      </c>
      <c r="J15" s="21" t="str">
        <f aca="false">IF(I15&lt;50,"LOW-IN-STOCK","IN-STOCK")</f>
        <v>LOW-IN-STOCK</v>
      </c>
      <c r="K15" s="22" t="n">
        <f aca="false">E15*G15</f>
        <v>4974</v>
      </c>
      <c r="L15" s="22" t="n">
        <f aca="false">F15*H15</f>
        <v>7219.3</v>
      </c>
      <c r="M15" s="22" t="n">
        <f aca="false">L15-K15</f>
        <v>2245.3</v>
      </c>
    </row>
    <row r="16" customFormat="false" ht="15" hidden="false" customHeight="false" outlineLevel="0" collapsed="false">
      <c r="A16" s="21" t="s">
        <v>115</v>
      </c>
      <c r="B16" s="21" t="s">
        <v>116</v>
      </c>
      <c r="C16" s="21" t="s">
        <v>83</v>
      </c>
      <c r="D16" s="21" t="s">
        <v>102</v>
      </c>
      <c r="E16" s="22" t="n">
        <v>20.77</v>
      </c>
      <c r="F16" s="22" t="n">
        <v>30.26</v>
      </c>
      <c r="G16" s="23" t="n">
        <v>160</v>
      </c>
      <c r="H16" s="23" t="n">
        <v>143</v>
      </c>
      <c r="I16" s="23" t="n">
        <f aca="false">G16-H16</f>
        <v>17</v>
      </c>
      <c r="J16" s="21" t="str">
        <f aca="false">IF(I16&lt;50,"LOW-IN-STOCK","IN-STOCK")</f>
        <v>LOW-IN-STOCK</v>
      </c>
      <c r="K16" s="22" t="n">
        <f aca="false">E16*G16</f>
        <v>3323.2</v>
      </c>
      <c r="L16" s="22" t="n">
        <f aca="false">F16*H16</f>
        <v>4327.18</v>
      </c>
      <c r="M16" s="22" t="n">
        <f aca="false">L16-K16</f>
        <v>1003.98</v>
      </c>
    </row>
    <row r="17" customFormat="false" ht="15" hidden="false" customHeight="false" outlineLevel="0" collapsed="false">
      <c r="A17" s="21" t="s">
        <v>117</v>
      </c>
      <c r="B17" s="21" t="s">
        <v>118</v>
      </c>
      <c r="C17" s="21" t="s">
        <v>79</v>
      </c>
      <c r="D17" s="21" t="s">
        <v>84</v>
      </c>
      <c r="E17" s="22" t="n">
        <v>7.12</v>
      </c>
      <c r="F17" s="22" t="n">
        <v>14.42</v>
      </c>
      <c r="G17" s="23" t="n">
        <v>337</v>
      </c>
      <c r="H17" s="23" t="n">
        <v>99</v>
      </c>
      <c r="I17" s="23" t="n">
        <f aca="false">G17-H17</f>
        <v>238</v>
      </c>
      <c r="J17" s="21" t="str">
        <f aca="false">IF(I17&lt;50,"LOW-IN-STOCK","IN-STOCK")</f>
        <v>IN-STOCK</v>
      </c>
      <c r="K17" s="22" t="n">
        <f aca="false">E17*G17</f>
        <v>2399.44</v>
      </c>
      <c r="L17" s="22" t="n">
        <f aca="false">F17*H17</f>
        <v>1427.58</v>
      </c>
      <c r="M17" s="22" t="n">
        <f aca="false">L17-K17</f>
        <v>-971.86</v>
      </c>
    </row>
    <row r="18" customFormat="false" ht="15" hidden="false" customHeight="false" outlineLevel="0" collapsed="false">
      <c r="A18" s="21" t="s">
        <v>119</v>
      </c>
      <c r="B18" s="21" t="s">
        <v>120</v>
      </c>
      <c r="C18" s="21" t="s">
        <v>107</v>
      </c>
      <c r="D18" s="21" t="s">
        <v>88</v>
      </c>
      <c r="E18" s="22" t="n">
        <v>6.76</v>
      </c>
      <c r="F18" s="22" t="n">
        <v>12.14</v>
      </c>
      <c r="G18" s="23" t="n">
        <v>458</v>
      </c>
      <c r="H18" s="23" t="n">
        <v>381</v>
      </c>
      <c r="I18" s="23" t="n">
        <f aca="false">G18-H18</f>
        <v>77</v>
      </c>
      <c r="J18" s="21" t="str">
        <f aca="false">IF(I18&lt;50,"LOW-IN-STOCK","IN-STOCK")</f>
        <v>IN-STOCK</v>
      </c>
      <c r="K18" s="22" t="n">
        <f aca="false">E18*G18</f>
        <v>3096.08</v>
      </c>
      <c r="L18" s="22" t="n">
        <f aca="false">F18*H18</f>
        <v>4625.34</v>
      </c>
      <c r="M18" s="22" t="n">
        <f aca="false">L18-K18</f>
        <v>1529.26</v>
      </c>
    </row>
    <row r="19" customFormat="false" ht="15" hidden="false" customHeight="false" outlineLevel="0" collapsed="false">
      <c r="A19" s="21" t="s">
        <v>121</v>
      </c>
      <c r="B19" s="21" t="s">
        <v>122</v>
      </c>
      <c r="C19" s="21" t="s">
        <v>75</v>
      </c>
      <c r="D19" s="21" t="s">
        <v>108</v>
      </c>
      <c r="E19" s="22" t="n">
        <v>6.4</v>
      </c>
      <c r="F19" s="22" t="n">
        <v>12.71</v>
      </c>
      <c r="G19" s="23" t="n">
        <v>470</v>
      </c>
      <c r="H19" s="23" t="n">
        <v>346</v>
      </c>
      <c r="I19" s="23" t="n">
        <f aca="false">G19-H19</f>
        <v>124</v>
      </c>
      <c r="J19" s="21" t="str">
        <f aca="false">IF(I19&lt;50,"LOW-IN-STOCK","IN-STOCK")</f>
        <v>IN-STOCK</v>
      </c>
      <c r="K19" s="22" t="n">
        <f aca="false">E19*G19</f>
        <v>3008</v>
      </c>
      <c r="L19" s="22" t="n">
        <f aca="false">F19*H19</f>
        <v>4397.66</v>
      </c>
      <c r="M19" s="22" t="n">
        <f aca="false">L19-K19</f>
        <v>1389.66</v>
      </c>
    </row>
    <row r="20" customFormat="false" ht="15" hidden="false" customHeight="false" outlineLevel="0" collapsed="false">
      <c r="A20" s="21" t="s">
        <v>123</v>
      </c>
      <c r="B20" s="21" t="s">
        <v>124</v>
      </c>
      <c r="C20" s="21" t="s">
        <v>79</v>
      </c>
      <c r="D20" s="21" t="s">
        <v>76</v>
      </c>
      <c r="E20" s="22" t="n">
        <v>15.81</v>
      </c>
      <c r="F20" s="22" t="n">
        <v>30.84</v>
      </c>
      <c r="G20" s="23" t="n">
        <v>114</v>
      </c>
      <c r="H20" s="23" t="n">
        <v>41</v>
      </c>
      <c r="I20" s="23" t="n">
        <f aca="false">G20-H20</f>
        <v>73</v>
      </c>
      <c r="J20" s="21" t="str">
        <f aca="false">IF(I20&lt;50,"LOW-IN-STOCK","IN-STOCK")</f>
        <v>IN-STOCK</v>
      </c>
      <c r="K20" s="22" t="n">
        <f aca="false">E20*G20</f>
        <v>1802.34</v>
      </c>
      <c r="L20" s="22" t="n">
        <f aca="false">F20*H20</f>
        <v>1264.44</v>
      </c>
      <c r="M20" s="22" t="n">
        <f aca="false">L20-K20</f>
        <v>-537.9</v>
      </c>
    </row>
    <row r="21" customFormat="false" ht="15" hidden="false" customHeight="false" outlineLevel="0" collapsed="false">
      <c r="A21" s="21" t="s">
        <v>125</v>
      </c>
      <c r="B21" s="21" t="s">
        <v>126</v>
      </c>
      <c r="C21" s="21" t="s">
        <v>79</v>
      </c>
      <c r="D21" s="21" t="s">
        <v>76</v>
      </c>
      <c r="E21" s="22" t="n">
        <v>14.02</v>
      </c>
      <c r="F21" s="22" t="n">
        <v>23.8</v>
      </c>
      <c r="G21" s="23" t="n">
        <v>21</v>
      </c>
      <c r="H21" s="23" t="n">
        <v>5</v>
      </c>
      <c r="I21" s="23" t="n">
        <f aca="false">G21-H21</f>
        <v>16</v>
      </c>
      <c r="J21" s="21" t="str">
        <f aca="false">IF(I21&lt;50,"LOW-IN-STOCK","IN-STOCK")</f>
        <v>LOW-IN-STOCK</v>
      </c>
      <c r="K21" s="22" t="n">
        <f aca="false">E21*G21</f>
        <v>294.42</v>
      </c>
      <c r="L21" s="22" t="n">
        <f aca="false">F21*H21</f>
        <v>119</v>
      </c>
      <c r="M21" s="22" t="n">
        <f aca="false">L21-K21</f>
        <v>-175.42</v>
      </c>
    </row>
    <row r="22" customFormat="false" ht="15" hidden="false" customHeight="false" outlineLevel="0" collapsed="false">
      <c r="A22" s="21" t="s">
        <v>127</v>
      </c>
      <c r="B22" s="21" t="s">
        <v>74</v>
      </c>
      <c r="C22" s="21" t="s">
        <v>75</v>
      </c>
      <c r="D22" s="21" t="s">
        <v>76</v>
      </c>
      <c r="E22" s="22" t="n">
        <v>23.27</v>
      </c>
      <c r="F22" s="22" t="n">
        <v>45.93</v>
      </c>
      <c r="G22" s="23" t="n">
        <v>438</v>
      </c>
      <c r="H22" s="23" t="n">
        <v>291</v>
      </c>
      <c r="I22" s="23" t="n">
        <f aca="false">G22-H22</f>
        <v>147</v>
      </c>
      <c r="J22" s="21" t="str">
        <f aca="false">IF(I22&lt;50,"LOW-IN-STOCK","IN-STOCK")</f>
        <v>IN-STOCK</v>
      </c>
      <c r="K22" s="22" t="n">
        <f aca="false">E22*G22</f>
        <v>10192.26</v>
      </c>
      <c r="L22" s="22" t="n">
        <f aca="false">F22*H22</f>
        <v>13365.63</v>
      </c>
      <c r="M22" s="22" t="n">
        <f aca="false">L22-K22</f>
        <v>3173.37</v>
      </c>
    </row>
    <row r="23" customFormat="false" ht="15" hidden="false" customHeight="false" outlineLevel="0" collapsed="false">
      <c r="A23" s="21" t="s">
        <v>128</v>
      </c>
      <c r="B23" s="21" t="s">
        <v>129</v>
      </c>
      <c r="C23" s="21" t="s">
        <v>83</v>
      </c>
      <c r="D23" s="21" t="s">
        <v>114</v>
      </c>
      <c r="E23" s="22" t="n">
        <v>9.2</v>
      </c>
      <c r="F23" s="22" t="n">
        <v>17.9</v>
      </c>
      <c r="G23" s="23" t="n">
        <v>466</v>
      </c>
      <c r="H23" s="23" t="n">
        <v>91</v>
      </c>
      <c r="I23" s="23" t="n">
        <f aca="false">G23-H23</f>
        <v>375</v>
      </c>
      <c r="J23" s="21" t="str">
        <f aca="false">IF(I23&lt;50,"LOW-IN-STOCK","IN-STOCK")</f>
        <v>IN-STOCK</v>
      </c>
      <c r="K23" s="22" t="n">
        <f aca="false">E23*G23</f>
        <v>4287.2</v>
      </c>
      <c r="L23" s="22" t="n">
        <f aca="false">F23*H23</f>
        <v>1628.9</v>
      </c>
      <c r="M23" s="22" t="n">
        <f aca="false">L23-K23</f>
        <v>-2658.3</v>
      </c>
    </row>
    <row r="24" customFormat="false" ht="15" hidden="false" customHeight="false" outlineLevel="0" collapsed="false">
      <c r="A24" s="21" t="s">
        <v>130</v>
      </c>
      <c r="B24" s="21" t="s">
        <v>106</v>
      </c>
      <c r="C24" s="21" t="s">
        <v>107</v>
      </c>
      <c r="D24" s="21" t="s">
        <v>80</v>
      </c>
      <c r="E24" s="22" t="n">
        <v>11.25</v>
      </c>
      <c r="F24" s="22" t="n">
        <v>18.59</v>
      </c>
      <c r="G24" s="23" t="n">
        <v>200</v>
      </c>
      <c r="H24" s="23" t="n">
        <v>183</v>
      </c>
      <c r="I24" s="23" t="n">
        <f aca="false">G24-H24</f>
        <v>17</v>
      </c>
      <c r="J24" s="21" t="str">
        <f aca="false">IF(I24&lt;50,"LOW-IN-STOCK","IN-STOCK")</f>
        <v>LOW-IN-STOCK</v>
      </c>
      <c r="K24" s="22" t="n">
        <f aca="false">E24*G24</f>
        <v>2250</v>
      </c>
      <c r="L24" s="22" t="n">
        <f aca="false">F24*H24</f>
        <v>3401.97</v>
      </c>
      <c r="M24" s="22" t="n">
        <f aca="false">L24-K24</f>
        <v>1151.97</v>
      </c>
    </row>
    <row r="25" customFormat="false" ht="15" hidden="false" customHeight="false" outlineLevel="0" collapsed="false">
      <c r="A25" s="21" t="s">
        <v>131</v>
      </c>
      <c r="B25" s="21" t="s">
        <v>132</v>
      </c>
      <c r="C25" s="21" t="s">
        <v>87</v>
      </c>
      <c r="D25" s="21" t="s">
        <v>114</v>
      </c>
      <c r="E25" s="22" t="n">
        <v>9.37</v>
      </c>
      <c r="F25" s="22" t="n">
        <v>19.14</v>
      </c>
      <c r="G25" s="23" t="n">
        <v>32</v>
      </c>
      <c r="H25" s="23" t="n">
        <v>22</v>
      </c>
      <c r="I25" s="23" t="n">
        <f aca="false">G25-H25</f>
        <v>10</v>
      </c>
      <c r="J25" s="21" t="str">
        <f aca="false">IF(I25&lt;50,"LOW-IN-STOCK","IN-STOCK")</f>
        <v>LOW-IN-STOCK</v>
      </c>
      <c r="K25" s="22" t="n">
        <f aca="false">E25*G25</f>
        <v>299.84</v>
      </c>
      <c r="L25" s="22" t="n">
        <f aca="false">F25*H25</f>
        <v>421.08</v>
      </c>
      <c r="M25" s="22" t="n">
        <f aca="false">L25-K25</f>
        <v>121.24</v>
      </c>
    </row>
    <row r="26" customFormat="false" ht="15" hidden="false" customHeight="false" outlineLevel="0" collapsed="false">
      <c r="A26" s="21" t="s">
        <v>133</v>
      </c>
      <c r="B26" s="21" t="s">
        <v>134</v>
      </c>
      <c r="C26" s="21" t="s">
        <v>83</v>
      </c>
      <c r="D26" s="21" t="s">
        <v>114</v>
      </c>
      <c r="E26" s="22" t="n">
        <v>4.23</v>
      </c>
      <c r="F26" s="22" t="n">
        <v>7.16</v>
      </c>
      <c r="G26" s="23" t="n">
        <v>454</v>
      </c>
      <c r="H26" s="23" t="n">
        <v>317</v>
      </c>
      <c r="I26" s="23" t="n">
        <f aca="false">G26-H26</f>
        <v>137</v>
      </c>
      <c r="J26" s="21" t="str">
        <f aca="false">IF(I26&lt;50,"LOW-IN-STOCK","IN-STOCK")</f>
        <v>IN-STOCK</v>
      </c>
      <c r="K26" s="22" t="n">
        <f aca="false">E26*G26</f>
        <v>1920.42</v>
      </c>
      <c r="L26" s="22" t="n">
        <f aca="false">F26*H26</f>
        <v>2269.72</v>
      </c>
      <c r="M26" s="22" t="n">
        <f aca="false">L26-K26</f>
        <v>349.3</v>
      </c>
    </row>
    <row r="27" customFormat="false" ht="15" hidden="false" customHeight="false" outlineLevel="0" collapsed="false">
      <c r="A27" s="21" t="s">
        <v>135</v>
      </c>
      <c r="B27" s="21" t="s">
        <v>136</v>
      </c>
      <c r="C27" s="21" t="s">
        <v>87</v>
      </c>
      <c r="D27" s="21" t="s">
        <v>137</v>
      </c>
      <c r="E27" s="22" t="n">
        <v>5.16</v>
      </c>
      <c r="F27" s="22" t="n">
        <v>9.85</v>
      </c>
      <c r="G27" s="23" t="n">
        <v>452</v>
      </c>
      <c r="H27" s="23" t="n">
        <v>259</v>
      </c>
      <c r="I27" s="23" t="n">
        <f aca="false">G27-H27</f>
        <v>193</v>
      </c>
      <c r="J27" s="21" t="str">
        <f aca="false">IF(I27&lt;50,"LOW-IN-STOCK","IN-STOCK")</f>
        <v>IN-STOCK</v>
      </c>
      <c r="K27" s="22" t="n">
        <f aca="false">E27*G27</f>
        <v>2332.32</v>
      </c>
      <c r="L27" s="22" t="n">
        <f aca="false">F27*H27</f>
        <v>2551.15</v>
      </c>
      <c r="M27" s="22" t="n">
        <f aca="false">L27-K27</f>
        <v>218.83</v>
      </c>
    </row>
    <row r="28" customFormat="false" ht="15" hidden="false" customHeight="false" outlineLevel="0" collapsed="false">
      <c r="A28" s="21" t="s">
        <v>138</v>
      </c>
      <c r="B28" s="21" t="s">
        <v>139</v>
      </c>
      <c r="C28" s="21" t="s">
        <v>75</v>
      </c>
      <c r="D28" s="21" t="s">
        <v>108</v>
      </c>
      <c r="E28" s="22" t="n">
        <v>28.63</v>
      </c>
      <c r="F28" s="22" t="n">
        <v>37.31</v>
      </c>
      <c r="G28" s="23" t="n">
        <v>256</v>
      </c>
      <c r="H28" s="23" t="n">
        <v>171</v>
      </c>
      <c r="I28" s="23" t="n">
        <f aca="false">G28-H28</f>
        <v>85</v>
      </c>
      <c r="J28" s="21" t="str">
        <f aca="false">IF(I28&lt;50,"LOW-IN-STOCK","IN-STOCK")</f>
        <v>IN-STOCK</v>
      </c>
      <c r="K28" s="22" t="n">
        <f aca="false">E28*G28</f>
        <v>7329.28</v>
      </c>
      <c r="L28" s="22" t="n">
        <f aca="false">F28*H28</f>
        <v>6380.01</v>
      </c>
      <c r="M28" s="22" t="n">
        <f aca="false">L28-K28</f>
        <v>-949.27</v>
      </c>
    </row>
    <row r="29" customFormat="false" ht="15" hidden="false" customHeight="false" outlineLevel="0" collapsed="false">
      <c r="A29" s="21" t="s">
        <v>140</v>
      </c>
      <c r="B29" s="21" t="s">
        <v>141</v>
      </c>
      <c r="C29" s="21" t="s">
        <v>107</v>
      </c>
      <c r="D29" s="21" t="s">
        <v>84</v>
      </c>
      <c r="E29" s="22" t="n">
        <v>3.29</v>
      </c>
      <c r="F29" s="22" t="n">
        <v>4.8</v>
      </c>
      <c r="G29" s="23" t="n">
        <v>270</v>
      </c>
      <c r="H29" s="23" t="n">
        <v>102</v>
      </c>
      <c r="I29" s="23" t="n">
        <f aca="false">G29-H29</f>
        <v>168</v>
      </c>
      <c r="J29" s="21" t="str">
        <f aca="false">IF(I29&lt;50,"LOW-IN-STOCK","IN-STOCK")</f>
        <v>IN-STOCK</v>
      </c>
      <c r="K29" s="22" t="n">
        <f aca="false">E29*G29</f>
        <v>888.3</v>
      </c>
      <c r="L29" s="22" t="n">
        <f aca="false">F29*H29</f>
        <v>489.6</v>
      </c>
      <c r="M29" s="22" t="n">
        <f aca="false">L29-K29</f>
        <v>-398.7</v>
      </c>
    </row>
    <row r="30" customFormat="false" ht="15" hidden="false" customHeight="false" outlineLevel="0" collapsed="false">
      <c r="A30" s="21" t="s">
        <v>142</v>
      </c>
      <c r="B30" s="21" t="s">
        <v>143</v>
      </c>
      <c r="C30" s="21" t="s">
        <v>107</v>
      </c>
      <c r="D30" s="21" t="s">
        <v>114</v>
      </c>
      <c r="E30" s="22" t="n">
        <v>5.84</v>
      </c>
      <c r="F30" s="22" t="n">
        <v>12.09</v>
      </c>
      <c r="G30" s="23" t="n">
        <v>46</v>
      </c>
      <c r="H30" s="23" t="n">
        <v>32</v>
      </c>
      <c r="I30" s="23" t="n">
        <f aca="false">G30-H30</f>
        <v>14</v>
      </c>
      <c r="J30" s="21" t="str">
        <f aca="false">IF(I30&lt;50,"LOW-IN-STOCK","IN-STOCK")</f>
        <v>LOW-IN-STOCK</v>
      </c>
      <c r="K30" s="22" t="n">
        <f aca="false">E30*G30</f>
        <v>268.64</v>
      </c>
      <c r="L30" s="22" t="n">
        <f aca="false">F30*H30</f>
        <v>386.88</v>
      </c>
      <c r="M30" s="22" t="n">
        <f aca="false">L30-K30</f>
        <v>118.24</v>
      </c>
    </row>
    <row r="31" customFormat="false" ht="15" hidden="false" customHeight="false" outlineLevel="0" collapsed="false">
      <c r="A31" s="21" t="s">
        <v>144</v>
      </c>
      <c r="B31" s="21" t="s">
        <v>145</v>
      </c>
      <c r="C31" s="21" t="s">
        <v>87</v>
      </c>
      <c r="D31" s="21" t="s">
        <v>108</v>
      </c>
      <c r="E31" s="22" t="n">
        <v>9.58</v>
      </c>
      <c r="F31" s="22" t="n">
        <v>16.97</v>
      </c>
      <c r="G31" s="23" t="n">
        <v>153</v>
      </c>
      <c r="H31" s="23" t="n">
        <v>114</v>
      </c>
      <c r="I31" s="23" t="n">
        <f aca="false">G31-H31</f>
        <v>39</v>
      </c>
      <c r="J31" s="21" t="str">
        <f aca="false">IF(I31&lt;50,"LOW-IN-STOCK","IN-STOCK")</f>
        <v>LOW-IN-STOCK</v>
      </c>
      <c r="K31" s="22" t="n">
        <f aca="false">E31*G31</f>
        <v>1465.74</v>
      </c>
      <c r="L31" s="22" t="n">
        <f aca="false">F31*H31</f>
        <v>1934.58</v>
      </c>
      <c r="M31" s="22" t="n">
        <f aca="false">L31-K31</f>
        <v>468.84</v>
      </c>
    </row>
    <row r="32" customFormat="false" ht="15" hidden="false" customHeight="false" outlineLevel="0" collapsed="false">
      <c r="A32" s="21" t="s">
        <v>146</v>
      </c>
      <c r="B32" s="21" t="s">
        <v>147</v>
      </c>
      <c r="C32" s="21" t="s">
        <v>148</v>
      </c>
      <c r="D32" s="21" t="s">
        <v>76</v>
      </c>
      <c r="E32" s="22" t="n">
        <v>25.35</v>
      </c>
      <c r="F32" s="22" t="n">
        <v>49.22</v>
      </c>
      <c r="G32" s="23" t="n">
        <v>245</v>
      </c>
      <c r="H32" s="23" t="n">
        <v>159</v>
      </c>
      <c r="I32" s="23" t="n">
        <f aca="false">G32-H32</f>
        <v>86</v>
      </c>
      <c r="J32" s="21" t="str">
        <f aca="false">IF(I32&lt;50,"LOW-IN-STOCK","IN-STOCK")</f>
        <v>IN-STOCK</v>
      </c>
      <c r="K32" s="22" t="n">
        <f aca="false">E32*G32</f>
        <v>6210.75</v>
      </c>
      <c r="L32" s="22" t="n">
        <f aca="false">F32*H32</f>
        <v>7825.98</v>
      </c>
      <c r="M32" s="22" t="n">
        <f aca="false">L32-K32</f>
        <v>1615.23</v>
      </c>
    </row>
    <row r="33" customFormat="false" ht="15" hidden="false" customHeight="false" outlineLevel="0" collapsed="false">
      <c r="A33" s="21" t="s">
        <v>149</v>
      </c>
      <c r="B33" s="21" t="s">
        <v>150</v>
      </c>
      <c r="C33" s="21" t="s">
        <v>148</v>
      </c>
      <c r="D33" s="21" t="s">
        <v>80</v>
      </c>
      <c r="E33" s="22" t="n">
        <v>34.16</v>
      </c>
      <c r="F33" s="22" t="n">
        <v>61.03</v>
      </c>
      <c r="G33" s="23" t="n">
        <v>40</v>
      </c>
      <c r="H33" s="23" t="n">
        <v>16</v>
      </c>
      <c r="I33" s="23" t="n">
        <f aca="false">G33-H33</f>
        <v>24</v>
      </c>
      <c r="J33" s="21" t="str">
        <f aca="false">IF(I33&lt;50,"LOW-IN-STOCK","IN-STOCK")</f>
        <v>LOW-IN-STOCK</v>
      </c>
      <c r="K33" s="22" t="n">
        <f aca="false">E33*G33</f>
        <v>1366.4</v>
      </c>
      <c r="L33" s="22" t="n">
        <f aca="false">F33*H33</f>
        <v>976.48</v>
      </c>
      <c r="M33" s="22" t="n">
        <f aca="false">L33-K33</f>
        <v>-389.92</v>
      </c>
    </row>
    <row r="34" customFormat="false" ht="15" hidden="false" customHeight="false" outlineLevel="0" collapsed="false">
      <c r="A34" s="21" t="s">
        <v>151</v>
      </c>
      <c r="B34" s="21" t="s">
        <v>152</v>
      </c>
      <c r="C34" s="21" t="s">
        <v>87</v>
      </c>
      <c r="D34" s="21" t="s">
        <v>102</v>
      </c>
      <c r="E34" s="22" t="n">
        <v>22.99</v>
      </c>
      <c r="F34" s="22" t="n">
        <v>41.67</v>
      </c>
      <c r="G34" s="23" t="n">
        <v>322</v>
      </c>
      <c r="H34" s="23" t="n">
        <v>287</v>
      </c>
      <c r="I34" s="23" t="n">
        <f aca="false">G34-H34</f>
        <v>35</v>
      </c>
      <c r="J34" s="21" t="str">
        <f aca="false">IF(I34&lt;50,"LOW-IN-STOCK","IN-STOCK")</f>
        <v>LOW-IN-STOCK</v>
      </c>
      <c r="K34" s="22" t="n">
        <f aca="false">E34*G34</f>
        <v>7402.78</v>
      </c>
      <c r="L34" s="22" t="n">
        <f aca="false">F34*H34</f>
        <v>11959.29</v>
      </c>
      <c r="M34" s="22" t="n">
        <f aca="false">L34-K34</f>
        <v>4556.51</v>
      </c>
    </row>
    <row r="35" customFormat="false" ht="15" hidden="false" customHeight="false" outlineLevel="0" collapsed="false">
      <c r="A35" s="21" t="s">
        <v>153</v>
      </c>
      <c r="B35" s="21" t="s">
        <v>154</v>
      </c>
      <c r="C35" s="21" t="s">
        <v>93</v>
      </c>
      <c r="D35" s="21" t="s">
        <v>80</v>
      </c>
      <c r="E35" s="22" t="n">
        <v>10.27</v>
      </c>
      <c r="F35" s="22" t="n">
        <v>22.32</v>
      </c>
      <c r="G35" s="23" t="n">
        <v>137</v>
      </c>
      <c r="H35" s="23" t="n">
        <v>53</v>
      </c>
      <c r="I35" s="23" t="n">
        <f aca="false">G35-H35</f>
        <v>84</v>
      </c>
      <c r="J35" s="21" t="str">
        <f aca="false">IF(I35&lt;50,"LOW-IN-STOCK","IN-STOCK")</f>
        <v>IN-STOCK</v>
      </c>
      <c r="K35" s="22" t="n">
        <f aca="false">E35*G35</f>
        <v>1406.99</v>
      </c>
      <c r="L35" s="22" t="n">
        <f aca="false">F35*H35</f>
        <v>1182.96</v>
      </c>
      <c r="M35" s="22" t="n">
        <f aca="false">L35-K35</f>
        <v>-224.03</v>
      </c>
    </row>
    <row r="36" customFormat="false" ht="15" hidden="false" customHeight="false" outlineLevel="0" collapsed="false">
      <c r="A36" s="21" t="s">
        <v>155</v>
      </c>
      <c r="B36" s="21" t="s">
        <v>97</v>
      </c>
      <c r="C36" s="21" t="s">
        <v>83</v>
      </c>
      <c r="D36" s="21" t="s">
        <v>84</v>
      </c>
      <c r="E36" s="22" t="n">
        <v>7.76</v>
      </c>
      <c r="F36" s="22" t="n">
        <v>10.09</v>
      </c>
      <c r="G36" s="23" t="n">
        <v>261</v>
      </c>
      <c r="H36" s="23" t="n">
        <v>156</v>
      </c>
      <c r="I36" s="23" t="n">
        <f aca="false">G36-H36</f>
        <v>105</v>
      </c>
      <c r="J36" s="21" t="str">
        <f aca="false">IF(I36&lt;50,"LOW-IN-STOCK","IN-STOCK")</f>
        <v>IN-STOCK</v>
      </c>
      <c r="K36" s="22" t="n">
        <f aca="false">E36*G36</f>
        <v>2025.36</v>
      </c>
      <c r="L36" s="22" t="n">
        <f aca="false">F36*H36</f>
        <v>1574.04</v>
      </c>
      <c r="M36" s="22" t="n">
        <f aca="false">L36-K36</f>
        <v>-451.32</v>
      </c>
    </row>
    <row r="37" customFormat="false" ht="15" hidden="false" customHeight="false" outlineLevel="0" collapsed="false">
      <c r="A37" s="21" t="s">
        <v>156</v>
      </c>
      <c r="B37" s="21" t="s">
        <v>157</v>
      </c>
      <c r="C37" s="21" t="s">
        <v>113</v>
      </c>
      <c r="D37" s="21" t="s">
        <v>76</v>
      </c>
      <c r="E37" s="22" t="n">
        <v>10.3</v>
      </c>
      <c r="F37" s="22" t="n">
        <v>20.77</v>
      </c>
      <c r="G37" s="23" t="n">
        <v>457</v>
      </c>
      <c r="H37" s="23" t="n">
        <v>137</v>
      </c>
      <c r="I37" s="23" t="n">
        <f aca="false">G37-H37</f>
        <v>320</v>
      </c>
      <c r="J37" s="21" t="str">
        <f aca="false">IF(I37&lt;50,"LOW-IN-STOCK","IN-STOCK")</f>
        <v>IN-STOCK</v>
      </c>
      <c r="K37" s="22" t="n">
        <f aca="false">E37*G37</f>
        <v>4707.1</v>
      </c>
      <c r="L37" s="22" t="n">
        <f aca="false">F37*H37</f>
        <v>2845.49</v>
      </c>
      <c r="M37" s="22" t="n">
        <f aca="false">L37-K37</f>
        <v>-1861.61</v>
      </c>
    </row>
    <row r="38" customFormat="false" ht="15" hidden="false" customHeight="false" outlineLevel="0" collapsed="false">
      <c r="A38" s="21" t="s">
        <v>158</v>
      </c>
      <c r="B38" s="21" t="s">
        <v>159</v>
      </c>
      <c r="C38" s="21" t="s">
        <v>93</v>
      </c>
      <c r="D38" s="21" t="s">
        <v>160</v>
      </c>
      <c r="E38" s="22" t="n">
        <v>10.47</v>
      </c>
      <c r="F38" s="22" t="n">
        <v>18.1</v>
      </c>
      <c r="G38" s="23" t="n">
        <v>117</v>
      </c>
      <c r="H38" s="23" t="n">
        <v>108</v>
      </c>
      <c r="I38" s="23" t="n">
        <f aca="false">G38-H38</f>
        <v>9</v>
      </c>
      <c r="J38" s="21" t="str">
        <f aca="false">IF(I38&lt;50,"LOW-IN-STOCK","IN-STOCK")</f>
        <v>LOW-IN-STOCK</v>
      </c>
      <c r="K38" s="22" t="n">
        <f aca="false">E38*G38</f>
        <v>1224.99</v>
      </c>
      <c r="L38" s="22" t="n">
        <f aca="false">F38*H38</f>
        <v>1954.8</v>
      </c>
      <c r="M38" s="22" t="n">
        <f aca="false">L38-K38</f>
        <v>729.81</v>
      </c>
    </row>
    <row r="39" customFormat="false" ht="15" hidden="false" customHeight="false" outlineLevel="0" collapsed="false">
      <c r="A39" s="21" t="s">
        <v>161</v>
      </c>
      <c r="B39" s="21" t="s">
        <v>162</v>
      </c>
      <c r="C39" s="21" t="s">
        <v>113</v>
      </c>
      <c r="D39" s="21" t="s">
        <v>114</v>
      </c>
      <c r="E39" s="22" t="n">
        <v>27.01</v>
      </c>
      <c r="F39" s="22" t="n">
        <v>48.6</v>
      </c>
      <c r="G39" s="23" t="n">
        <v>381</v>
      </c>
      <c r="H39" s="23" t="n">
        <v>326</v>
      </c>
      <c r="I39" s="23" t="n">
        <f aca="false">G39-H39</f>
        <v>55</v>
      </c>
      <c r="J39" s="21" t="str">
        <f aca="false">IF(I39&lt;50,"LOW-IN-STOCK","IN-STOCK")</f>
        <v>IN-STOCK</v>
      </c>
      <c r="K39" s="22" t="n">
        <f aca="false">E39*G39</f>
        <v>10290.81</v>
      </c>
      <c r="L39" s="22" t="n">
        <f aca="false">F39*H39</f>
        <v>15843.6</v>
      </c>
      <c r="M39" s="22" t="n">
        <f aca="false">L39-K39</f>
        <v>5552.79</v>
      </c>
    </row>
    <row r="40" customFormat="false" ht="15" hidden="false" customHeight="false" outlineLevel="0" collapsed="false">
      <c r="A40" s="21" t="s">
        <v>163</v>
      </c>
      <c r="B40" s="21" t="s">
        <v>164</v>
      </c>
      <c r="C40" s="21" t="s">
        <v>93</v>
      </c>
      <c r="D40" s="21" t="s">
        <v>137</v>
      </c>
      <c r="E40" s="22" t="n">
        <v>1.98</v>
      </c>
      <c r="F40" s="22" t="n">
        <v>3.78</v>
      </c>
      <c r="G40" s="23" t="n">
        <v>42</v>
      </c>
      <c r="H40" s="23" t="n">
        <v>25</v>
      </c>
      <c r="I40" s="23" t="n">
        <f aca="false">G40-H40</f>
        <v>17</v>
      </c>
      <c r="J40" s="21" t="str">
        <f aca="false">IF(I40&lt;50,"LOW-IN-STOCK","IN-STOCK")</f>
        <v>LOW-IN-STOCK</v>
      </c>
      <c r="K40" s="22" t="n">
        <f aca="false">E40*G40</f>
        <v>83.16</v>
      </c>
      <c r="L40" s="22" t="n">
        <f aca="false">F40*H40</f>
        <v>94.5</v>
      </c>
      <c r="M40" s="22" t="n">
        <f aca="false">L40-K40</f>
        <v>11.34</v>
      </c>
    </row>
    <row r="41" customFormat="false" ht="15" hidden="false" customHeight="false" outlineLevel="0" collapsed="false">
      <c r="A41" s="21" t="s">
        <v>165</v>
      </c>
      <c r="B41" s="21" t="s">
        <v>166</v>
      </c>
      <c r="C41" s="21" t="s">
        <v>93</v>
      </c>
      <c r="D41" s="21" t="s">
        <v>108</v>
      </c>
      <c r="E41" s="22" t="n">
        <v>11.71</v>
      </c>
      <c r="F41" s="22" t="n">
        <v>22.03</v>
      </c>
      <c r="G41" s="23" t="n">
        <v>122</v>
      </c>
      <c r="H41" s="23" t="n">
        <v>33</v>
      </c>
      <c r="I41" s="23" t="n">
        <f aca="false">G41-H41</f>
        <v>89</v>
      </c>
      <c r="J41" s="21" t="str">
        <f aca="false">IF(I41&lt;50,"LOW-IN-STOCK","IN-STOCK")</f>
        <v>IN-STOCK</v>
      </c>
      <c r="K41" s="22" t="n">
        <f aca="false">E41*G41</f>
        <v>1428.62</v>
      </c>
      <c r="L41" s="22" t="n">
        <f aca="false">F41*H41</f>
        <v>726.99</v>
      </c>
      <c r="M41" s="22" t="n">
        <f aca="false">L41-K41</f>
        <v>-701.63</v>
      </c>
    </row>
    <row r="42" customFormat="false" ht="15" hidden="false" customHeight="false" outlineLevel="0" collapsed="false">
      <c r="A42" s="21" t="s">
        <v>167</v>
      </c>
      <c r="B42" s="21" t="s">
        <v>86</v>
      </c>
      <c r="C42" s="21" t="s">
        <v>87</v>
      </c>
      <c r="D42" s="21" t="s">
        <v>84</v>
      </c>
      <c r="E42" s="22" t="n">
        <v>23.76</v>
      </c>
      <c r="F42" s="22" t="n">
        <v>47.93</v>
      </c>
      <c r="G42" s="23" t="n">
        <v>316</v>
      </c>
      <c r="H42" s="23" t="n">
        <v>290</v>
      </c>
      <c r="I42" s="23" t="n">
        <f aca="false">G42-H42</f>
        <v>26</v>
      </c>
      <c r="J42" s="21" t="str">
        <f aca="false">IF(I42&lt;50,"LOW-IN-STOCK","IN-STOCK")</f>
        <v>LOW-IN-STOCK</v>
      </c>
      <c r="K42" s="22" t="n">
        <f aca="false">E42*G42</f>
        <v>7508.16</v>
      </c>
      <c r="L42" s="22" t="n">
        <f aca="false">F42*H42</f>
        <v>13899.7</v>
      </c>
      <c r="M42" s="22" t="n">
        <f aca="false">L42-K42</f>
        <v>6391.54</v>
      </c>
    </row>
    <row r="43" customFormat="false" ht="15" hidden="false" customHeight="false" outlineLevel="0" collapsed="false">
      <c r="A43" s="21" t="s">
        <v>168</v>
      </c>
      <c r="B43" s="21" t="s">
        <v>166</v>
      </c>
      <c r="C43" s="21" t="s">
        <v>93</v>
      </c>
      <c r="D43" s="21" t="s">
        <v>102</v>
      </c>
      <c r="E43" s="22" t="n">
        <v>3.58</v>
      </c>
      <c r="F43" s="22" t="n">
        <v>6.74</v>
      </c>
      <c r="G43" s="23" t="n">
        <v>272</v>
      </c>
      <c r="H43" s="23" t="n">
        <v>243</v>
      </c>
      <c r="I43" s="23" t="n">
        <f aca="false">G43-H43</f>
        <v>29</v>
      </c>
      <c r="J43" s="21" t="str">
        <f aca="false">IF(I43&lt;50,"LOW-IN-STOCK","IN-STOCK")</f>
        <v>LOW-IN-STOCK</v>
      </c>
      <c r="K43" s="22" t="n">
        <f aca="false">E43*G43</f>
        <v>973.76</v>
      </c>
      <c r="L43" s="22" t="n">
        <f aca="false">F43*H43</f>
        <v>1637.82</v>
      </c>
      <c r="M43" s="22" t="n">
        <f aca="false">L43-K43</f>
        <v>664.06</v>
      </c>
    </row>
    <row r="44" customFormat="false" ht="15" hidden="false" customHeight="false" outlineLevel="0" collapsed="false">
      <c r="A44" s="21" t="s">
        <v>169</v>
      </c>
      <c r="B44" s="21" t="s">
        <v>170</v>
      </c>
      <c r="C44" s="21" t="s">
        <v>87</v>
      </c>
      <c r="D44" s="21" t="s">
        <v>84</v>
      </c>
      <c r="E44" s="22" t="n">
        <v>13.84</v>
      </c>
      <c r="F44" s="22" t="n">
        <v>28.88</v>
      </c>
      <c r="G44" s="23" t="n">
        <v>416</v>
      </c>
      <c r="H44" s="23" t="n">
        <v>146</v>
      </c>
      <c r="I44" s="23" t="n">
        <f aca="false">G44-H44</f>
        <v>270</v>
      </c>
      <c r="J44" s="21" t="str">
        <f aca="false">IF(I44&lt;50,"LOW-IN-STOCK","IN-STOCK")</f>
        <v>IN-STOCK</v>
      </c>
      <c r="K44" s="22" t="n">
        <f aca="false">E44*G44</f>
        <v>5757.44</v>
      </c>
      <c r="L44" s="22" t="n">
        <f aca="false">F44*H44</f>
        <v>4216.48</v>
      </c>
      <c r="M44" s="22" t="n">
        <f aca="false">L44-K44</f>
        <v>-1540.96</v>
      </c>
    </row>
    <row r="45" customFormat="false" ht="15" hidden="false" customHeight="false" outlineLevel="0" collapsed="false">
      <c r="A45" s="21" t="s">
        <v>171</v>
      </c>
      <c r="B45" s="21" t="s">
        <v>150</v>
      </c>
      <c r="C45" s="21" t="s">
        <v>148</v>
      </c>
      <c r="D45" s="21" t="s">
        <v>84</v>
      </c>
      <c r="E45" s="22" t="n">
        <v>21.7</v>
      </c>
      <c r="F45" s="22" t="n">
        <v>40.34</v>
      </c>
      <c r="G45" s="23" t="n">
        <v>402</v>
      </c>
      <c r="H45" s="23" t="n">
        <v>224</v>
      </c>
      <c r="I45" s="23" t="n">
        <f aca="false">G45-H45</f>
        <v>178</v>
      </c>
      <c r="J45" s="21" t="str">
        <f aca="false">IF(I45&lt;50,"LOW-IN-STOCK","IN-STOCK")</f>
        <v>IN-STOCK</v>
      </c>
      <c r="K45" s="22" t="n">
        <f aca="false">E45*G45</f>
        <v>8723.4</v>
      </c>
      <c r="L45" s="22" t="n">
        <f aca="false">F45*H45</f>
        <v>9036.16</v>
      </c>
      <c r="M45" s="22" t="n">
        <f aca="false">L45-K45</f>
        <v>312.76</v>
      </c>
    </row>
    <row r="46" customFormat="false" ht="15" hidden="false" customHeight="false" outlineLevel="0" collapsed="false">
      <c r="A46" s="21" t="s">
        <v>172</v>
      </c>
      <c r="B46" s="21" t="s">
        <v>90</v>
      </c>
      <c r="C46" s="21" t="s">
        <v>75</v>
      </c>
      <c r="D46" s="21" t="s">
        <v>99</v>
      </c>
      <c r="E46" s="22" t="n">
        <v>17.2</v>
      </c>
      <c r="F46" s="22" t="n">
        <v>23.67</v>
      </c>
      <c r="G46" s="23" t="n">
        <v>488</v>
      </c>
      <c r="H46" s="23" t="n">
        <v>238</v>
      </c>
      <c r="I46" s="23" t="n">
        <f aca="false">G46-H46</f>
        <v>250</v>
      </c>
      <c r="J46" s="21" t="str">
        <f aca="false">IF(I46&lt;50,"LOW-IN-STOCK","IN-STOCK")</f>
        <v>IN-STOCK</v>
      </c>
      <c r="K46" s="22" t="n">
        <f aca="false">E46*G46</f>
        <v>8393.6</v>
      </c>
      <c r="L46" s="22" t="n">
        <f aca="false">F46*H46</f>
        <v>5633.46</v>
      </c>
      <c r="M46" s="22" t="n">
        <f aca="false">L46-K46</f>
        <v>-2760.14</v>
      </c>
    </row>
    <row r="47" customFormat="false" ht="15" hidden="false" customHeight="false" outlineLevel="0" collapsed="false">
      <c r="A47" s="21" t="s">
        <v>173</v>
      </c>
      <c r="B47" s="21" t="s">
        <v>174</v>
      </c>
      <c r="C47" s="21" t="s">
        <v>113</v>
      </c>
      <c r="D47" s="21" t="s">
        <v>114</v>
      </c>
      <c r="E47" s="22" t="n">
        <v>24.64</v>
      </c>
      <c r="F47" s="22" t="n">
        <v>41.77</v>
      </c>
      <c r="G47" s="23" t="n">
        <v>42</v>
      </c>
      <c r="H47" s="23" t="n">
        <v>38</v>
      </c>
      <c r="I47" s="23" t="n">
        <f aca="false">G47-H47</f>
        <v>4</v>
      </c>
      <c r="J47" s="21" t="str">
        <f aca="false">IF(I47&lt;50,"LOW-IN-STOCK","IN-STOCK")</f>
        <v>LOW-IN-STOCK</v>
      </c>
      <c r="K47" s="22" t="n">
        <f aca="false">E47*G47</f>
        <v>1034.88</v>
      </c>
      <c r="L47" s="22" t="n">
        <f aca="false">F47*H47</f>
        <v>1587.26</v>
      </c>
      <c r="M47" s="22" t="n">
        <f aca="false">L47-K47</f>
        <v>552.38</v>
      </c>
    </row>
    <row r="48" customFormat="false" ht="15" hidden="false" customHeight="false" outlineLevel="0" collapsed="false">
      <c r="A48" s="21" t="s">
        <v>175</v>
      </c>
      <c r="B48" s="21" t="s">
        <v>176</v>
      </c>
      <c r="C48" s="21" t="s">
        <v>83</v>
      </c>
      <c r="D48" s="21" t="s">
        <v>108</v>
      </c>
      <c r="E48" s="22" t="n">
        <v>1.12</v>
      </c>
      <c r="F48" s="22" t="n">
        <v>1.52</v>
      </c>
      <c r="G48" s="23" t="n">
        <v>416</v>
      </c>
      <c r="H48" s="23" t="n">
        <v>286</v>
      </c>
      <c r="I48" s="23" t="n">
        <f aca="false">G48-H48</f>
        <v>130</v>
      </c>
      <c r="J48" s="21" t="str">
        <f aca="false">IF(I48&lt;50,"LOW-IN-STOCK","IN-STOCK")</f>
        <v>IN-STOCK</v>
      </c>
      <c r="K48" s="22" t="n">
        <f aca="false">E48*G48</f>
        <v>465.92</v>
      </c>
      <c r="L48" s="22" t="n">
        <f aca="false">F48*H48</f>
        <v>434.72</v>
      </c>
      <c r="M48" s="22" t="n">
        <f aca="false">L48-K48</f>
        <v>-31.2</v>
      </c>
    </row>
    <row r="49" customFormat="false" ht="15" hidden="false" customHeight="false" outlineLevel="0" collapsed="false">
      <c r="A49" s="21" t="s">
        <v>177</v>
      </c>
      <c r="B49" s="21" t="s">
        <v>90</v>
      </c>
      <c r="C49" s="21" t="s">
        <v>75</v>
      </c>
      <c r="D49" s="21" t="s">
        <v>114</v>
      </c>
      <c r="E49" s="22" t="n">
        <v>20.97</v>
      </c>
      <c r="F49" s="22" t="n">
        <v>28.82</v>
      </c>
      <c r="G49" s="23" t="n">
        <v>156</v>
      </c>
      <c r="H49" s="23" t="n">
        <v>76</v>
      </c>
      <c r="I49" s="23" t="n">
        <f aca="false">G49-H49</f>
        <v>80</v>
      </c>
      <c r="J49" s="21" t="str">
        <f aca="false">IF(I49&lt;50,"LOW-IN-STOCK","IN-STOCK")</f>
        <v>IN-STOCK</v>
      </c>
      <c r="K49" s="22" t="n">
        <f aca="false">E49*G49</f>
        <v>3271.32</v>
      </c>
      <c r="L49" s="22" t="n">
        <f aca="false">F49*H49</f>
        <v>2190.32</v>
      </c>
      <c r="M49" s="22" t="n">
        <f aca="false">L49-K49</f>
        <v>-1081</v>
      </c>
    </row>
    <row r="50" customFormat="false" ht="15" hidden="false" customHeight="false" outlineLevel="0" collapsed="false">
      <c r="A50" s="21" t="s">
        <v>178</v>
      </c>
      <c r="B50" s="21" t="s">
        <v>179</v>
      </c>
      <c r="C50" s="21" t="s">
        <v>93</v>
      </c>
      <c r="D50" s="21" t="s">
        <v>99</v>
      </c>
      <c r="E50" s="22" t="n">
        <v>8.33</v>
      </c>
      <c r="F50" s="22" t="n">
        <v>12.46</v>
      </c>
      <c r="G50" s="23" t="n">
        <v>332</v>
      </c>
      <c r="H50" s="23" t="n">
        <v>165</v>
      </c>
      <c r="I50" s="23" t="n">
        <f aca="false">G50-H50</f>
        <v>167</v>
      </c>
      <c r="J50" s="21" t="str">
        <f aca="false">IF(I50&lt;50,"LOW-IN-STOCK","IN-STOCK")</f>
        <v>IN-STOCK</v>
      </c>
      <c r="K50" s="22" t="n">
        <f aca="false">E50*G50</f>
        <v>2765.56</v>
      </c>
      <c r="L50" s="22" t="n">
        <f aca="false">F50*H50</f>
        <v>2055.9</v>
      </c>
      <c r="M50" s="22" t="n">
        <f aca="false">L50-K50</f>
        <v>-709.66</v>
      </c>
    </row>
    <row r="51" customFormat="false" ht="15" hidden="false" customHeight="false" outlineLevel="0" collapsed="false">
      <c r="A51" s="21" t="s">
        <v>180</v>
      </c>
      <c r="B51" s="21" t="s">
        <v>132</v>
      </c>
      <c r="C51" s="21" t="s">
        <v>87</v>
      </c>
      <c r="D51" s="21" t="s">
        <v>102</v>
      </c>
      <c r="E51" s="22" t="n">
        <v>14.05</v>
      </c>
      <c r="F51" s="22" t="n">
        <v>30.39</v>
      </c>
      <c r="G51" s="23" t="n">
        <v>291</v>
      </c>
      <c r="H51" s="23" t="n">
        <v>129</v>
      </c>
      <c r="I51" s="23" t="n">
        <f aca="false">G51-H51</f>
        <v>162</v>
      </c>
      <c r="J51" s="21" t="str">
        <f aca="false">IF(I51&lt;50,"LOW-IN-STOCK","IN-STOCK")</f>
        <v>IN-STOCK</v>
      </c>
      <c r="K51" s="22" t="n">
        <f aca="false">E51*G51</f>
        <v>4088.55</v>
      </c>
      <c r="L51" s="22" t="n">
        <f aca="false">F51*H51</f>
        <v>3920.31</v>
      </c>
      <c r="M51" s="22" t="n">
        <f aca="false">L51-K51</f>
        <v>-168.24</v>
      </c>
    </row>
    <row r="52" customFormat="false" ht="15" hidden="false" customHeight="false" outlineLevel="0" collapsed="false">
      <c r="A52" s="21" t="s">
        <v>181</v>
      </c>
      <c r="B52" s="21" t="s">
        <v>136</v>
      </c>
      <c r="C52" s="21" t="s">
        <v>87</v>
      </c>
      <c r="D52" s="21" t="s">
        <v>102</v>
      </c>
      <c r="E52" s="22" t="n">
        <v>16.8</v>
      </c>
      <c r="F52" s="22" t="n">
        <v>22.4</v>
      </c>
      <c r="G52" s="23" t="n">
        <v>165</v>
      </c>
      <c r="H52" s="23" t="n">
        <v>55</v>
      </c>
      <c r="I52" s="23" t="n">
        <f aca="false">G52-H52</f>
        <v>110</v>
      </c>
      <c r="J52" s="21" t="str">
        <f aca="false">IF(I52&lt;50,"LOW-IN-STOCK","IN-STOCK")</f>
        <v>IN-STOCK</v>
      </c>
      <c r="K52" s="22" t="n">
        <f aca="false">E52*G52</f>
        <v>2772</v>
      </c>
      <c r="L52" s="22" t="n">
        <f aca="false">F52*H52</f>
        <v>1232</v>
      </c>
      <c r="M52" s="22" t="n">
        <f aca="false">L52-K52</f>
        <v>-1540</v>
      </c>
    </row>
    <row r="53" customFormat="false" ht="15" hidden="false" customHeight="false" outlineLevel="0" collapsed="false">
      <c r="A53" s="21" t="s">
        <v>182</v>
      </c>
      <c r="B53" s="21" t="s">
        <v>136</v>
      </c>
      <c r="C53" s="21" t="s">
        <v>87</v>
      </c>
      <c r="D53" s="21" t="s">
        <v>99</v>
      </c>
      <c r="E53" s="22" t="n">
        <v>3.96</v>
      </c>
      <c r="F53" s="22" t="n">
        <v>5.92</v>
      </c>
      <c r="G53" s="23" t="n">
        <v>46</v>
      </c>
      <c r="H53" s="23" t="n">
        <v>9</v>
      </c>
      <c r="I53" s="23" t="n">
        <f aca="false">G53-H53</f>
        <v>37</v>
      </c>
      <c r="J53" s="21" t="str">
        <f aca="false">IF(I53&lt;50,"LOW-IN-STOCK","IN-STOCK")</f>
        <v>LOW-IN-STOCK</v>
      </c>
      <c r="K53" s="22" t="n">
        <f aca="false">E53*G53</f>
        <v>182.16</v>
      </c>
      <c r="L53" s="22" t="n">
        <f aca="false">F53*H53</f>
        <v>53.28</v>
      </c>
      <c r="M53" s="22" t="n">
        <f aca="false">L53-K53</f>
        <v>-128.88</v>
      </c>
    </row>
    <row r="54" customFormat="false" ht="15" hidden="false" customHeight="false" outlineLevel="0" collapsed="false">
      <c r="A54" s="21" t="s">
        <v>183</v>
      </c>
      <c r="B54" s="21" t="s">
        <v>184</v>
      </c>
      <c r="C54" s="21" t="s">
        <v>148</v>
      </c>
      <c r="D54" s="21" t="s">
        <v>114</v>
      </c>
      <c r="E54" s="22" t="n">
        <v>77.74</v>
      </c>
      <c r="F54" s="22" t="n">
        <v>129.41</v>
      </c>
      <c r="G54" s="23" t="n">
        <v>153</v>
      </c>
      <c r="H54" s="23" t="n">
        <v>75</v>
      </c>
      <c r="I54" s="23" t="n">
        <f aca="false">G54-H54</f>
        <v>78</v>
      </c>
      <c r="J54" s="21" t="str">
        <f aca="false">IF(I54&lt;50,"LOW-IN-STOCK","IN-STOCK")</f>
        <v>IN-STOCK</v>
      </c>
      <c r="K54" s="22" t="n">
        <f aca="false">E54*G54</f>
        <v>11894.22</v>
      </c>
      <c r="L54" s="22" t="n">
        <f aca="false">F54*H54</f>
        <v>9705.75</v>
      </c>
      <c r="M54" s="22" t="n">
        <f aca="false">L54-K54</f>
        <v>-2188.47</v>
      </c>
    </row>
    <row r="55" customFormat="false" ht="15" hidden="false" customHeight="false" outlineLevel="0" collapsed="false">
      <c r="A55" s="21" t="s">
        <v>185</v>
      </c>
      <c r="B55" s="21" t="s">
        <v>186</v>
      </c>
      <c r="C55" s="21" t="s">
        <v>83</v>
      </c>
      <c r="D55" s="21" t="s">
        <v>102</v>
      </c>
      <c r="E55" s="22" t="n">
        <v>11.5</v>
      </c>
      <c r="F55" s="22" t="n">
        <v>15.55</v>
      </c>
      <c r="G55" s="23" t="n">
        <v>65</v>
      </c>
      <c r="H55" s="23" t="n">
        <v>43</v>
      </c>
      <c r="I55" s="23" t="n">
        <f aca="false">G55-H55</f>
        <v>22</v>
      </c>
      <c r="J55" s="21" t="str">
        <f aca="false">IF(I55&lt;50,"LOW-IN-STOCK","IN-STOCK")</f>
        <v>LOW-IN-STOCK</v>
      </c>
      <c r="K55" s="22" t="n">
        <f aca="false">E55*G55</f>
        <v>747.5</v>
      </c>
      <c r="L55" s="22" t="n">
        <f aca="false">F55*H55</f>
        <v>668.65</v>
      </c>
      <c r="M55" s="22" t="n">
        <f aca="false">L55-K55</f>
        <v>-78.85</v>
      </c>
    </row>
    <row r="56" customFormat="false" ht="15" hidden="false" customHeight="false" outlineLevel="0" collapsed="false">
      <c r="A56" s="21" t="s">
        <v>187</v>
      </c>
      <c r="B56" s="21" t="s">
        <v>188</v>
      </c>
      <c r="C56" s="21" t="s">
        <v>113</v>
      </c>
      <c r="D56" s="21" t="s">
        <v>84</v>
      </c>
      <c r="E56" s="22" t="n">
        <v>8.86</v>
      </c>
      <c r="F56" s="22" t="n">
        <v>18.82</v>
      </c>
      <c r="G56" s="23" t="n">
        <v>392</v>
      </c>
      <c r="H56" s="23" t="n">
        <v>41</v>
      </c>
      <c r="I56" s="23" t="n">
        <f aca="false">G56-H56</f>
        <v>351</v>
      </c>
      <c r="J56" s="21" t="str">
        <f aca="false">IF(I56&lt;50,"LOW-IN-STOCK","IN-STOCK")</f>
        <v>IN-STOCK</v>
      </c>
      <c r="K56" s="22" t="n">
        <f aca="false">E56*G56</f>
        <v>3473.12</v>
      </c>
      <c r="L56" s="22" t="n">
        <f aca="false">F56*H56</f>
        <v>771.62</v>
      </c>
      <c r="M56" s="22" t="n">
        <f aca="false">L56-K56</f>
        <v>-2701.5</v>
      </c>
    </row>
    <row r="57" customFormat="false" ht="15" hidden="false" customHeight="false" outlineLevel="0" collapsed="false">
      <c r="A57" s="21" t="s">
        <v>189</v>
      </c>
      <c r="B57" s="21" t="s">
        <v>110</v>
      </c>
      <c r="C57" s="21" t="s">
        <v>93</v>
      </c>
      <c r="D57" s="21" t="s">
        <v>137</v>
      </c>
      <c r="E57" s="22" t="n">
        <v>5.56</v>
      </c>
      <c r="F57" s="22" t="n">
        <v>7.44</v>
      </c>
      <c r="G57" s="23" t="n">
        <v>144</v>
      </c>
      <c r="H57" s="23" t="n">
        <v>94</v>
      </c>
      <c r="I57" s="23" t="n">
        <f aca="false">G57-H57</f>
        <v>50</v>
      </c>
      <c r="J57" s="21" t="str">
        <f aca="false">IF(I57&lt;50,"LOW-IN-STOCK","IN-STOCK")</f>
        <v>IN-STOCK</v>
      </c>
      <c r="K57" s="22" t="n">
        <f aca="false">E57*G57</f>
        <v>800.64</v>
      </c>
      <c r="L57" s="22" t="n">
        <f aca="false">F57*H57</f>
        <v>699.36</v>
      </c>
      <c r="M57" s="22" t="n">
        <f aca="false">L57-K57</f>
        <v>-101.28</v>
      </c>
    </row>
    <row r="58" customFormat="false" ht="15" hidden="false" customHeight="false" outlineLevel="0" collapsed="false">
      <c r="A58" s="21" t="s">
        <v>190</v>
      </c>
      <c r="B58" s="21" t="s">
        <v>191</v>
      </c>
      <c r="C58" s="21" t="s">
        <v>148</v>
      </c>
      <c r="D58" s="21" t="s">
        <v>80</v>
      </c>
      <c r="E58" s="22" t="n">
        <v>60.97</v>
      </c>
      <c r="F58" s="22" t="n">
        <v>89.21</v>
      </c>
      <c r="G58" s="23" t="n">
        <v>385</v>
      </c>
      <c r="H58" s="23" t="n">
        <v>158</v>
      </c>
      <c r="I58" s="23" t="n">
        <f aca="false">G58-H58</f>
        <v>227</v>
      </c>
      <c r="J58" s="21" t="str">
        <f aca="false">IF(I58&lt;50,"LOW-IN-STOCK","IN-STOCK")</f>
        <v>IN-STOCK</v>
      </c>
      <c r="K58" s="22" t="n">
        <f aca="false">E58*G58</f>
        <v>23473.45</v>
      </c>
      <c r="L58" s="22" t="n">
        <f aca="false">F58*H58</f>
        <v>14095.18</v>
      </c>
      <c r="M58" s="22" t="n">
        <f aca="false">L58-K58</f>
        <v>-9378.27</v>
      </c>
    </row>
    <row r="59" customFormat="false" ht="15" hidden="false" customHeight="false" outlineLevel="0" collapsed="false">
      <c r="A59" s="21" t="s">
        <v>192</v>
      </c>
      <c r="B59" s="21" t="s">
        <v>129</v>
      </c>
      <c r="C59" s="21" t="s">
        <v>83</v>
      </c>
      <c r="D59" s="21" t="s">
        <v>84</v>
      </c>
      <c r="E59" s="22" t="n">
        <v>5.18</v>
      </c>
      <c r="F59" s="22" t="n">
        <v>8.67</v>
      </c>
      <c r="G59" s="23" t="n">
        <v>222</v>
      </c>
      <c r="H59" s="23" t="n">
        <v>37</v>
      </c>
      <c r="I59" s="23" t="n">
        <f aca="false">G59-H59</f>
        <v>185</v>
      </c>
      <c r="J59" s="21" t="str">
        <f aca="false">IF(I59&lt;50,"LOW-IN-STOCK","IN-STOCK")</f>
        <v>IN-STOCK</v>
      </c>
      <c r="K59" s="22" t="n">
        <f aca="false">E59*G59</f>
        <v>1149.96</v>
      </c>
      <c r="L59" s="22" t="n">
        <f aca="false">F59*H59</f>
        <v>320.79</v>
      </c>
      <c r="M59" s="22" t="n">
        <f aca="false">L59-K59</f>
        <v>-829.17</v>
      </c>
    </row>
    <row r="60" customFormat="false" ht="15" hidden="false" customHeight="false" outlineLevel="0" collapsed="false">
      <c r="A60" s="21" t="s">
        <v>193</v>
      </c>
      <c r="B60" s="21" t="s">
        <v>134</v>
      </c>
      <c r="C60" s="21" t="s">
        <v>83</v>
      </c>
      <c r="D60" s="21" t="s">
        <v>99</v>
      </c>
      <c r="E60" s="22" t="n">
        <v>22.87</v>
      </c>
      <c r="F60" s="22" t="n">
        <v>32.8</v>
      </c>
      <c r="G60" s="23" t="n">
        <v>34</v>
      </c>
      <c r="H60" s="23" t="n">
        <v>11</v>
      </c>
      <c r="I60" s="23" t="n">
        <f aca="false">G60-H60</f>
        <v>23</v>
      </c>
      <c r="J60" s="21" t="str">
        <f aca="false">IF(I60&lt;50,"LOW-IN-STOCK","IN-STOCK")</f>
        <v>LOW-IN-STOCK</v>
      </c>
      <c r="K60" s="22" t="n">
        <f aca="false">E60*G60</f>
        <v>777.58</v>
      </c>
      <c r="L60" s="22" t="n">
        <f aca="false">F60*H60</f>
        <v>360.8</v>
      </c>
      <c r="M60" s="22" t="n">
        <f aca="false">L60-K60</f>
        <v>-416.78</v>
      </c>
    </row>
    <row r="61" customFormat="false" ht="15" hidden="false" customHeight="false" outlineLevel="0" collapsed="false">
      <c r="A61" s="21" t="s">
        <v>194</v>
      </c>
      <c r="B61" s="21" t="s">
        <v>195</v>
      </c>
      <c r="C61" s="21" t="s">
        <v>79</v>
      </c>
      <c r="D61" s="21" t="s">
        <v>84</v>
      </c>
      <c r="E61" s="22" t="n">
        <v>15.35</v>
      </c>
      <c r="F61" s="22" t="n">
        <v>25.52</v>
      </c>
      <c r="G61" s="23" t="n">
        <v>409</v>
      </c>
      <c r="H61" s="23" t="n">
        <v>83</v>
      </c>
      <c r="I61" s="23" t="n">
        <f aca="false">G61-H61</f>
        <v>326</v>
      </c>
      <c r="J61" s="21" t="str">
        <f aca="false">IF(I61&lt;50,"LOW-IN-STOCK","IN-STOCK")</f>
        <v>IN-STOCK</v>
      </c>
      <c r="K61" s="22" t="n">
        <f aca="false">E61*G61</f>
        <v>6278.15</v>
      </c>
      <c r="L61" s="22" t="n">
        <f aca="false">F61*H61</f>
        <v>2118.16</v>
      </c>
      <c r="M61" s="22" t="n">
        <f aca="false">L61-K61</f>
        <v>-4159.99</v>
      </c>
    </row>
    <row r="62" customFormat="false" ht="15" hidden="false" customHeight="false" outlineLevel="0" collapsed="false">
      <c r="A62" s="21" t="s">
        <v>196</v>
      </c>
      <c r="B62" s="21" t="s">
        <v>97</v>
      </c>
      <c r="C62" s="21" t="s">
        <v>83</v>
      </c>
      <c r="D62" s="21" t="s">
        <v>76</v>
      </c>
      <c r="E62" s="22" t="n">
        <v>23.78</v>
      </c>
      <c r="F62" s="22" t="n">
        <v>39.71</v>
      </c>
      <c r="G62" s="23" t="n">
        <v>148</v>
      </c>
      <c r="H62" s="23" t="n">
        <v>83</v>
      </c>
      <c r="I62" s="23" t="n">
        <f aca="false">G62-H62</f>
        <v>65</v>
      </c>
      <c r="J62" s="21" t="str">
        <f aca="false">IF(I62&lt;50,"LOW-IN-STOCK","IN-STOCK")</f>
        <v>IN-STOCK</v>
      </c>
      <c r="K62" s="22" t="n">
        <f aca="false">E62*G62</f>
        <v>3519.44</v>
      </c>
      <c r="L62" s="22" t="n">
        <f aca="false">F62*H62</f>
        <v>3295.93</v>
      </c>
      <c r="M62" s="22" t="n">
        <f aca="false">L62-K62</f>
        <v>-223.51</v>
      </c>
    </row>
    <row r="63" customFormat="false" ht="15" hidden="false" customHeight="false" outlineLevel="0" collapsed="false">
      <c r="A63" s="21" t="s">
        <v>197</v>
      </c>
      <c r="B63" s="21" t="s">
        <v>179</v>
      </c>
      <c r="C63" s="21" t="s">
        <v>93</v>
      </c>
      <c r="D63" s="21" t="s">
        <v>114</v>
      </c>
      <c r="E63" s="22" t="n">
        <v>8.08</v>
      </c>
      <c r="F63" s="22" t="n">
        <v>14.43</v>
      </c>
      <c r="G63" s="23" t="n">
        <v>62</v>
      </c>
      <c r="H63" s="23" t="n">
        <v>56</v>
      </c>
      <c r="I63" s="23" t="n">
        <f aca="false">G63-H63</f>
        <v>6</v>
      </c>
      <c r="J63" s="21" t="str">
        <f aca="false">IF(I63&lt;50,"LOW-IN-STOCK","IN-STOCK")</f>
        <v>LOW-IN-STOCK</v>
      </c>
      <c r="K63" s="22" t="n">
        <f aca="false">E63*G63</f>
        <v>500.96</v>
      </c>
      <c r="L63" s="22" t="n">
        <f aca="false">F63*H63</f>
        <v>808.08</v>
      </c>
      <c r="M63" s="22" t="n">
        <f aca="false">L63-K63</f>
        <v>307.12</v>
      </c>
    </row>
    <row r="64" customFormat="false" ht="15" hidden="false" customHeight="false" outlineLevel="0" collapsed="false">
      <c r="A64" s="21" t="s">
        <v>198</v>
      </c>
      <c r="B64" s="21" t="s">
        <v>116</v>
      </c>
      <c r="C64" s="21" t="s">
        <v>83</v>
      </c>
      <c r="D64" s="21" t="s">
        <v>102</v>
      </c>
      <c r="E64" s="22" t="n">
        <v>22.91</v>
      </c>
      <c r="F64" s="22" t="n">
        <v>40.42</v>
      </c>
      <c r="G64" s="23" t="n">
        <v>75</v>
      </c>
      <c r="H64" s="23" t="n">
        <v>65</v>
      </c>
      <c r="I64" s="23" t="n">
        <f aca="false">G64-H64</f>
        <v>10</v>
      </c>
      <c r="J64" s="21" t="str">
        <f aca="false">IF(I64&lt;50,"LOW-IN-STOCK","IN-STOCK")</f>
        <v>LOW-IN-STOCK</v>
      </c>
      <c r="K64" s="22" t="n">
        <f aca="false">E64*G64</f>
        <v>1718.25</v>
      </c>
      <c r="L64" s="22" t="n">
        <f aca="false">F64*H64</f>
        <v>2627.3</v>
      </c>
      <c r="M64" s="22" t="n">
        <f aca="false">L64-K64</f>
        <v>909.05</v>
      </c>
    </row>
    <row r="65" customFormat="false" ht="15" hidden="false" customHeight="false" outlineLevel="0" collapsed="false">
      <c r="A65" s="21" t="s">
        <v>199</v>
      </c>
      <c r="B65" s="21" t="s">
        <v>95</v>
      </c>
      <c r="C65" s="21" t="s">
        <v>75</v>
      </c>
      <c r="D65" s="21" t="s">
        <v>88</v>
      </c>
      <c r="E65" s="22" t="n">
        <v>11.4</v>
      </c>
      <c r="F65" s="22" t="n">
        <v>24.77</v>
      </c>
      <c r="G65" s="23" t="n">
        <v>207</v>
      </c>
      <c r="H65" s="23" t="n">
        <v>118</v>
      </c>
      <c r="I65" s="23" t="n">
        <f aca="false">G65-H65</f>
        <v>89</v>
      </c>
      <c r="J65" s="21" t="str">
        <f aca="false">IF(I65&lt;50,"LOW-IN-STOCK","IN-STOCK")</f>
        <v>IN-STOCK</v>
      </c>
      <c r="K65" s="22" t="n">
        <f aca="false">E65*G65</f>
        <v>2359.8</v>
      </c>
      <c r="L65" s="22" t="n">
        <f aca="false">F65*H65</f>
        <v>2922.86</v>
      </c>
      <c r="M65" s="22" t="n">
        <f aca="false">L65-K65</f>
        <v>563.06</v>
      </c>
    </row>
    <row r="66" customFormat="false" ht="15" hidden="false" customHeight="false" outlineLevel="0" collapsed="false">
      <c r="A66" s="21" t="s">
        <v>200</v>
      </c>
      <c r="B66" s="21" t="s">
        <v>201</v>
      </c>
      <c r="C66" s="21" t="s">
        <v>107</v>
      </c>
      <c r="D66" s="21" t="s">
        <v>84</v>
      </c>
      <c r="E66" s="22" t="n">
        <v>2.49</v>
      </c>
      <c r="F66" s="22" t="n">
        <v>3.88</v>
      </c>
      <c r="G66" s="23" t="n">
        <v>131</v>
      </c>
      <c r="H66" s="23" t="n">
        <v>104</v>
      </c>
      <c r="I66" s="23" t="n">
        <f aca="false">G66-H66</f>
        <v>27</v>
      </c>
      <c r="J66" s="21" t="str">
        <f aca="false">IF(I66&lt;50,"LOW-IN-STOCK","IN-STOCK")</f>
        <v>LOW-IN-STOCK</v>
      </c>
      <c r="K66" s="22" t="n">
        <f aca="false">E66*G66</f>
        <v>326.19</v>
      </c>
      <c r="L66" s="22" t="n">
        <f aca="false">F66*H66</f>
        <v>403.52</v>
      </c>
      <c r="M66" s="22" t="n">
        <f aca="false">L66-K66</f>
        <v>77.3299999999999</v>
      </c>
    </row>
    <row r="67" customFormat="false" ht="15" hidden="false" customHeight="false" outlineLevel="0" collapsed="false">
      <c r="A67" s="21" t="s">
        <v>202</v>
      </c>
      <c r="B67" s="21" t="s">
        <v>92</v>
      </c>
      <c r="C67" s="21" t="s">
        <v>93</v>
      </c>
      <c r="D67" s="21" t="s">
        <v>80</v>
      </c>
      <c r="E67" s="22" t="n">
        <v>10.86</v>
      </c>
      <c r="F67" s="22" t="n">
        <v>21.62</v>
      </c>
      <c r="G67" s="23" t="n">
        <v>216</v>
      </c>
      <c r="H67" s="23" t="n">
        <v>119</v>
      </c>
      <c r="I67" s="23" t="n">
        <f aca="false">G67-H67</f>
        <v>97</v>
      </c>
      <c r="J67" s="21" t="str">
        <f aca="false">IF(I67&lt;50,"LOW-IN-STOCK","IN-STOCK")</f>
        <v>IN-STOCK</v>
      </c>
      <c r="K67" s="22" t="n">
        <f aca="false">E67*G67</f>
        <v>2345.76</v>
      </c>
      <c r="L67" s="22" t="n">
        <f aca="false">F67*H67</f>
        <v>2572.78</v>
      </c>
      <c r="M67" s="22" t="n">
        <f aca="false">L67-K67</f>
        <v>227.02</v>
      </c>
    </row>
    <row r="68" customFormat="false" ht="15" hidden="false" customHeight="false" outlineLevel="0" collapsed="false">
      <c r="A68" s="21" t="s">
        <v>203</v>
      </c>
      <c r="B68" s="21" t="s">
        <v>204</v>
      </c>
      <c r="C68" s="21" t="s">
        <v>148</v>
      </c>
      <c r="D68" s="21" t="s">
        <v>160</v>
      </c>
      <c r="E68" s="22" t="n">
        <v>65.4</v>
      </c>
      <c r="F68" s="22" t="n">
        <v>92.21</v>
      </c>
      <c r="G68" s="23" t="n">
        <v>188</v>
      </c>
      <c r="H68" s="23" t="n">
        <v>58</v>
      </c>
      <c r="I68" s="23" t="n">
        <f aca="false">G68-H68</f>
        <v>130</v>
      </c>
      <c r="J68" s="21" t="str">
        <f aca="false">IF(I68&lt;50,"LOW-IN-STOCK","IN-STOCK")</f>
        <v>IN-STOCK</v>
      </c>
      <c r="K68" s="22" t="n">
        <f aca="false">E68*G68</f>
        <v>12295.2</v>
      </c>
      <c r="L68" s="22" t="n">
        <f aca="false">F68*H68</f>
        <v>5348.18</v>
      </c>
      <c r="M68" s="22" t="n">
        <f aca="false">L68-K68</f>
        <v>-6947.02</v>
      </c>
    </row>
    <row r="69" customFormat="false" ht="15" hidden="false" customHeight="false" outlineLevel="0" collapsed="false">
      <c r="A69" s="21" t="s">
        <v>205</v>
      </c>
      <c r="B69" s="21" t="s">
        <v>136</v>
      </c>
      <c r="C69" s="21" t="s">
        <v>87</v>
      </c>
      <c r="D69" s="21" t="s">
        <v>99</v>
      </c>
      <c r="E69" s="22" t="n">
        <v>14.11</v>
      </c>
      <c r="F69" s="22" t="n">
        <v>21.45</v>
      </c>
      <c r="G69" s="23" t="n">
        <v>232</v>
      </c>
      <c r="H69" s="23" t="n">
        <v>206</v>
      </c>
      <c r="I69" s="23" t="n">
        <f aca="false">G69-H69</f>
        <v>26</v>
      </c>
      <c r="J69" s="21" t="str">
        <f aca="false">IF(I69&lt;50,"LOW-IN-STOCK","IN-STOCK")</f>
        <v>LOW-IN-STOCK</v>
      </c>
      <c r="K69" s="22" t="n">
        <f aca="false">E69*G69</f>
        <v>3273.52</v>
      </c>
      <c r="L69" s="22" t="n">
        <f aca="false">F69*H69</f>
        <v>4418.7</v>
      </c>
      <c r="M69" s="22" t="n">
        <f aca="false">L69-K69</f>
        <v>1145.18</v>
      </c>
    </row>
    <row r="70" customFormat="false" ht="15" hidden="false" customHeight="false" outlineLevel="0" collapsed="false">
      <c r="A70" s="21" t="s">
        <v>206</v>
      </c>
      <c r="B70" s="21" t="s">
        <v>207</v>
      </c>
      <c r="C70" s="21" t="s">
        <v>93</v>
      </c>
      <c r="D70" s="21" t="s">
        <v>88</v>
      </c>
      <c r="E70" s="22" t="n">
        <v>6.88</v>
      </c>
      <c r="F70" s="22" t="n">
        <v>10.96</v>
      </c>
      <c r="G70" s="23" t="n">
        <v>189</v>
      </c>
      <c r="H70" s="23" t="n">
        <v>97</v>
      </c>
      <c r="I70" s="23" t="n">
        <f aca="false">G70-H70</f>
        <v>92</v>
      </c>
      <c r="J70" s="21" t="str">
        <f aca="false">IF(I70&lt;50,"LOW-IN-STOCK","IN-STOCK")</f>
        <v>IN-STOCK</v>
      </c>
      <c r="K70" s="22" t="n">
        <f aca="false">E70*G70</f>
        <v>1300.32</v>
      </c>
      <c r="L70" s="22" t="n">
        <f aca="false">F70*H70</f>
        <v>1063.12</v>
      </c>
      <c r="M70" s="22" t="n">
        <f aca="false">L70-K70</f>
        <v>-237.2</v>
      </c>
    </row>
    <row r="71" customFormat="false" ht="15" hidden="false" customHeight="false" outlineLevel="0" collapsed="false">
      <c r="A71" s="21" t="s">
        <v>208</v>
      </c>
      <c r="B71" s="21" t="s">
        <v>209</v>
      </c>
      <c r="C71" s="21" t="s">
        <v>107</v>
      </c>
      <c r="D71" s="21" t="s">
        <v>99</v>
      </c>
      <c r="E71" s="22" t="n">
        <v>2.27</v>
      </c>
      <c r="F71" s="22" t="n">
        <v>3.49</v>
      </c>
      <c r="G71" s="23" t="n">
        <v>241</v>
      </c>
      <c r="H71" s="23" t="n">
        <v>30</v>
      </c>
      <c r="I71" s="23" t="n">
        <f aca="false">G71-H71</f>
        <v>211</v>
      </c>
      <c r="J71" s="21" t="str">
        <f aca="false">IF(I71&lt;50,"LOW-IN-STOCK","IN-STOCK")</f>
        <v>IN-STOCK</v>
      </c>
      <c r="K71" s="22" t="n">
        <f aca="false">E71*G71</f>
        <v>547.07</v>
      </c>
      <c r="L71" s="22" t="n">
        <f aca="false">F71*H71</f>
        <v>104.7</v>
      </c>
      <c r="M71" s="22" t="n">
        <f aca="false">L71-K71</f>
        <v>-442.37</v>
      </c>
    </row>
    <row r="72" customFormat="false" ht="15" hidden="false" customHeight="false" outlineLevel="0" collapsed="false">
      <c r="A72" s="21" t="s">
        <v>210</v>
      </c>
      <c r="B72" s="21" t="s">
        <v>211</v>
      </c>
      <c r="C72" s="21" t="s">
        <v>113</v>
      </c>
      <c r="D72" s="21" t="s">
        <v>160</v>
      </c>
      <c r="E72" s="22" t="n">
        <v>31.63</v>
      </c>
      <c r="F72" s="22" t="n">
        <v>52.56</v>
      </c>
      <c r="G72" s="23" t="n">
        <v>172</v>
      </c>
      <c r="H72" s="23" t="n">
        <v>19</v>
      </c>
      <c r="I72" s="23" t="n">
        <f aca="false">G72-H72</f>
        <v>153</v>
      </c>
      <c r="J72" s="21" t="str">
        <f aca="false">IF(I72&lt;50,"LOW-IN-STOCK","IN-STOCK")</f>
        <v>IN-STOCK</v>
      </c>
      <c r="K72" s="22" t="n">
        <f aca="false">E72*G72</f>
        <v>5440.36</v>
      </c>
      <c r="L72" s="22" t="n">
        <f aca="false">F72*H72</f>
        <v>998.64</v>
      </c>
      <c r="M72" s="22" t="n">
        <f aca="false">L72-K72</f>
        <v>-4441.72</v>
      </c>
    </row>
    <row r="73" customFormat="false" ht="15" hidden="false" customHeight="false" outlineLevel="0" collapsed="false">
      <c r="A73" s="21" t="s">
        <v>212</v>
      </c>
      <c r="B73" s="21" t="s">
        <v>213</v>
      </c>
      <c r="C73" s="21" t="s">
        <v>87</v>
      </c>
      <c r="D73" s="21" t="s">
        <v>80</v>
      </c>
      <c r="E73" s="22" t="n">
        <v>21.3</v>
      </c>
      <c r="F73" s="22" t="n">
        <v>38.34</v>
      </c>
      <c r="G73" s="23" t="n">
        <v>104</v>
      </c>
      <c r="H73" s="23" t="n">
        <v>26</v>
      </c>
      <c r="I73" s="23" t="n">
        <f aca="false">G73-H73</f>
        <v>78</v>
      </c>
      <c r="J73" s="21" t="str">
        <f aca="false">IF(I73&lt;50,"LOW-IN-STOCK","IN-STOCK")</f>
        <v>IN-STOCK</v>
      </c>
      <c r="K73" s="22" t="n">
        <f aca="false">E73*G73</f>
        <v>2215.2</v>
      </c>
      <c r="L73" s="22" t="n">
        <f aca="false">F73*H73</f>
        <v>996.84</v>
      </c>
      <c r="M73" s="22" t="n">
        <f aca="false">L73-K73</f>
        <v>-1218.36</v>
      </c>
    </row>
    <row r="74" customFormat="false" ht="15" hidden="false" customHeight="false" outlineLevel="0" collapsed="false">
      <c r="A74" s="21" t="s">
        <v>214</v>
      </c>
      <c r="B74" s="21" t="s">
        <v>118</v>
      </c>
      <c r="C74" s="21" t="s">
        <v>79</v>
      </c>
      <c r="D74" s="21" t="s">
        <v>76</v>
      </c>
      <c r="E74" s="22" t="n">
        <v>1</v>
      </c>
      <c r="F74" s="22" t="n">
        <v>1.64</v>
      </c>
      <c r="G74" s="23" t="n">
        <v>305</v>
      </c>
      <c r="H74" s="23" t="n">
        <v>99</v>
      </c>
      <c r="I74" s="23" t="n">
        <f aca="false">G74-H74</f>
        <v>206</v>
      </c>
      <c r="J74" s="21" t="str">
        <f aca="false">IF(I74&lt;50,"LOW-IN-STOCK","IN-STOCK")</f>
        <v>IN-STOCK</v>
      </c>
      <c r="K74" s="22" t="n">
        <f aca="false">E74*G74</f>
        <v>305</v>
      </c>
      <c r="L74" s="22" t="n">
        <f aca="false">F74*H74</f>
        <v>162.36</v>
      </c>
      <c r="M74" s="22" t="n">
        <f aca="false">L74-K74</f>
        <v>-142.64</v>
      </c>
    </row>
    <row r="75" customFormat="false" ht="15" hidden="false" customHeight="false" outlineLevel="0" collapsed="false">
      <c r="A75" s="21" t="s">
        <v>215</v>
      </c>
      <c r="B75" s="21" t="s">
        <v>216</v>
      </c>
      <c r="C75" s="21" t="s">
        <v>107</v>
      </c>
      <c r="D75" s="21" t="s">
        <v>102</v>
      </c>
      <c r="E75" s="22" t="n">
        <v>9.97</v>
      </c>
      <c r="F75" s="22" t="n">
        <v>13.17</v>
      </c>
      <c r="G75" s="23" t="n">
        <v>63</v>
      </c>
      <c r="H75" s="23" t="n">
        <v>38</v>
      </c>
      <c r="I75" s="23" t="n">
        <f aca="false">G75-H75</f>
        <v>25</v>
      </c>
      <c r="J75" s="21" t="str">
        <f aca="false">IF(I75&lt;50,"LOW-IN-STOCK","IN-STOCK")</f>
        <v>LOW-IN-STOCK</v>
      </c>
      <c r="K75" s="22" t="n">
        <f aca="false">E75*G75</f>
        <v>628.11</v>
      </c>
      <c r="L75" s="22" t="n">
        <f aca="false">F75*H75</f>
        <v>500.46</v>
      </c>
      <c r="M75" s="22" t="n">
        <f aca="false">L75-K75</f>
        <v>-127.65</v>
      </c>
    </row>
    <row r="76" customFormat="false" ht="15" hidden="false" customHeight="false" outlineLevel="0" collapsed="false">
      <c r="A76" s="21" t="s">
        <v>217</v>
      </c>
      <c r="B76" s="21" t="s">
        <v>150</v>
      </c>
      <c r="C76" s="21" t="s">
        <v>148</v>
      </c>
      <c r="D76" s="21" t="s">
        <v>114</v>
      </c>
      <c r="E76" s="22" t="n">
        <v>9.52</v>
      </c>
      <c r="F76" s="22" t="n">
        <v>13.38</v>
      </c>
      <c r="G76" s="23" t="n">
        <v>434</v>
      </c>
      <c r="H76" s="23" t="n">
        <v>205</v>
      </c>
      <c r="I76" s="23" t="n">
        <f aca="false">G76-H76</f>
        <v>229</v>
      </c>
      <c r="J76" s="21" t="str">
        <f aca="false">IF(I76&lt;50,"LOW-IN-STOCK","IN-STOCK")</f>
        <v>IN-STOCK</v>
      </c>
      <c r="K76" s="22" t="n">
        <f aca="false">E76*G76</f>
        <v>4131.68</v>
      </c>
      <c r="L76" s="22" t="n">
        <f aca="false">F76*H76</f>
        <v>2742.9</v>
      </c>
      <c r="M76" s="22" t="n">
        <f aca="false">L76-K76</f>
        <v>-1388.78</v>
      </c>
    </row>
    <row r="77" customFormat="false" ht="15" hidden="false" customHeight="false" outlineLevel="0" collapsed="false">
      <c r="A77" s="21" t="s">
        <v>218</v>
      </c>
      <c r="B77" s="21" t="s">
        <v>184</v>
      </c>
      <c r="C77" s="21" t="s">
        <v>148</v>
      </c>
      <c r="D77" s="21" t="s">
        <v>137</v>
      </c>
      <c r="E77" s="22" t="n">
        <v>74.16</v>
      </c>
      <c r="F77" s="22" t="n">
        <v>100.42</v>
      </c>
      <c r="G77" s="23" t="n">
        <v>294</v>
      </c>
      <c r="H77" s="23" t="n">
        <v>75</v>
      </c>
      <c r="I77" s="23" t="n">
        <f aca="false">G77-H77</f>
        <v>219</v>
      </c>
      <c r="J77" s="21" t="str">
        <f aca="false">IF(I77&lt;50,"LOW-IN-STOCK","IN-STOCK")</f>
        <v>IN-STOCK</v>
      </c>
      <c r="K77" s="22" t="n">
        <f aca="false">E77*G77</f>
        <v>21803.04</v>
      </c>
      <c r="L77" s="22" t="n">
        <f aca="false">F77*H77</f>
        <v>7531.5</v>
      </c>
      <c r="M77" s="22" t="n">
        <f aca="false">L77-K77</f>
        <v>-14271.54</v>
      </c>
    </row>
    <row r="78" customFormat="false" ht="15" hidden="false" customHeight="false" outlineLevel="0" collapsed="false">
      <c r="A78" s="21" t="s">
        <v>219</v>
      </c>
      <c r="B78" s="21" t="s">
        <v>176</v>
      </c>
      <c r="C78" s="21" t="s">
        <v>83</v>
      </c>
      <c r="D78" s="21" t="s">
        <v>84</v>
      </c>
      <c r="E78" s="22" t="n">
        <v>1.79</v>
      </c>
      <c r="F78" s="22" t="n">
        <v>3.33</v>
      </c>
      <c r="G78" s="23" t="n">
        <v>111</v>
      </c>
      <c r="H78" s="23" t="n">
        <v>43</v>
      </c>
      <c r="I78" s="23" t="n">
        <f aca="false">G78-H78</f>
        <v>68</v>
      </c>
      <c r="J78" s="21" t="str">
        <f aca="false">IF(I78&lt;50,"LOW-IN-STOCK","IN-STOCK")</f>
        <v>IN-STOCK</v>
      </c>
      <c r="K78" s="22" t="n">
        <f aca="false">E78*G78</f>
        <v>198.69</v>
      </c>
      <c r="L78" s="22" t="n">
        <f aca="false">F78*H78</f>
        <v>143.19</v>
      </c>
      <c r="M78" s="22" t="n">
        <f aca="false">L78-K78</f>
        <v>-55.5</v>
      </c>
    </row>
    <row r="79" customFormat="false" ht="15" hidden="false" customHeight="false" outlineLevel="0" collapsed="false">
      <c r="A79" s="21" t="s">
        <v>220</v>
      </c>
      <c r="B79" s="21" t="s">
        <v>82</v>
      </c>
      <c r="C79" s="21" t="s">
        <v>83</v>
      </c>
      <c r="D79" s="21" t="s">
        <v>76</v>
      </c>
      <c r="E79" s="22" t="n">
        <v>24.03</v>
      </c>
      <c r="F79" s="22" t="n">
        <v>49.91</v>
      </c>
      <c r="G79" s="23" t="n">
        <v>455</v>
      </c>
      <c r="H79" s="23" t="n">
        <v>178</v>
      </c>
      <c r="I79" s="23" t="n">
        <f aca="false">G79-H79</f>
        <v>277</v>
      </c>
      <c r="J79" s="21" t="str">
        <f aca="false">IF(I79&lt;50,"LOW-IN-STOCK","IN-STOCK")</f>
        <v>IN-STOCK</v>
      </c>
      <c r="K79" s="22" t="n">
        <f aca="false">E79*G79</f>
        <v>10933.65</v>
      </c>
      <c r="L79" s="22" t="n">
        <f aca="false">F79*H79</f>
        <v>8883.98</v>
      </c>
      <c r="M79" s="22" t="n">
        <f aca="false">L79-K79</f>
        <v>-2049.67</v>
      </c>
    </row>
    <row r="80" customFormat="false" ht="15" hidden="false" customHeight="false" outlineLevel="0" collapsed="false">
      <c r="A80" s="21" t="s">
        <v>221</v>
      </c>
      <c r="B80" s="21" t="s">
        <v>126</v>
      </c>
      <c r="C80" s="21" t="s">
        <v>79</v>
      </c>
      <c r="D80" s="21" t="s">
        <v>84</v>
      </c>
      <c r="E80" s="22" t="n">
        <v>19.24</v>
      </c>
      <c r="F80" s="22" t="n">
        <v>31.22</v>
      </c>
      <c r="G80" s="23" t="n">
        <v>68</v>
      </c>
      <c r="H80" s="23" t="n">
        <v>16</v>
      </c>
      <c r="I80" s="23" t="n">
        <f aca="false">G80-H80</f>
        <v>52</v>
      </c>
      <c r="J80" s="21" t="str">
        <f aca="false">IF(I80&lt;50,"LOW-IN-STOCK","IN-STOCK")</f>
        <v>IN-STOCK</v>
      </c>
      <c r="K80" s="22" t="n">
        <f aca="false">E80*G80</f>
        <v>1308.32</v>
      </c>
      <c r="L80" s="22" t="n">
        <f aca="false">F80*H80</f>
        <v>499.52</v>
      </c>
      <c r="M80" s="22" t="n">
        <f aca="false">L80-K80</f>
        <v>-808.8</v>
      </c>
    </row>
    <row r="81" customFormat="false" ht="15" hidden="false" customHeight="false" outlineLevel="0" collapsed="false">
      <c r="A81" s="21" t="s">
        <v>222</v>
      </c>
      <c r="B81" s="21" t="s">
        <v>164</v>
      </c>
      <c r="C81" s="21" t="s">
        <v>93</v>
      </c>
      <c r="D81" s="21" t="s">
        <v>84</v>
      </c>
      <c r="E81" s="22" t="n">
        <v>7.32</v>
      </c>
      <c r="F81" s="22" t="n">
        <v>14.41</v>
      </c>
      <c r="G81" s="23" t="n">
        <v>197</v>
      </c>
      <c r="H81" s="23" t="n">
        <v>150</v>
      </c>
      <c r="I81" s="23" t="n">
        <f aca="false">G81-H81</f>
        <v>47</v>
      </c>
      <c r="J81" s="21" t="str">
        <f aca="false">IF(I81&lt;50,"LOW-IN-STOCK","IN-STOCK")</f>
        <v>LOW-IN-STOCK</v>
      </c>
      <c r="K81" s="22" t="n">
        <f aca="false">E81*G81</f>
        <v>1442.04</v>
      </c>
      <c r="L81" s="22" t="n">
        <f aca="false">F81*H81</f>
        <v>2161.5</v>
      </c>
      <c r="M81" s="22" t="n">
        <f aca="false">L81-K81</f>
        <v>719.46</v>
      </c>
    </row>
    <row r="82" customFormat="false" ht="15" hidden="false" customHeight="false" outlineLevel="0" collapsed="false">
      <c r="A82" s="21" t="s">
        <v>223</v>
      </c>
      <c r="B82" s="21" t="s">
        <v>224</v>
      </c>
      <c r="C82" s="21" t="s">
        <v>79</v>
      </c>
      <c r="D82" s="21" t="s">
        <v>84</v>
      </c>
      <c r="E82" s="22" t="n">
        <v>15.67</v>
      </c>
      <c r="F82" s="22" t="n">
        <v>28.28</v>
      </c>
      <c r="G82" s="23" t="n">
        <v>323</v>
      </c>
      <c r="H82" s="23" t="n">
        <v>129</v>
      </c>
      <c r="I82" s="23" t="n">
        <f aca="false">G82-H82</f>
        <v>194</v>
      </c>
      <c r="J82" s="21" t="str">
        <f aca="false">IF(I82&lt;50,"LOW-IN-STOCK","IN-STOCK")</f>
        <v>IN-STOCK</v>
      </c>
      <c r="K82" s="22" t="n">
        <f aca="false">E82*G82</f>
        <v>5061.41</v>
      </c>
      <c r="L82" s="22" t="n">
        <f aca="false">F82*H82</f>
        <v>3648.12</v>
      </c>
      <c r="M82" s="22" t="n">
        <f aca="false">L82-K82</f>
        <v>-1413.29</v>
      </c>
    </row>
    <row r="83" customFormat="false" ht="15" hidden="false" customHeight="false" outlineLevel="0" collapsed="false">
      <c r="A83" s="21" t="s">
        <v>225</v>
      </c>
      <c r="B83" s="21" t="s">
        <v>211</v>
      </c>
      <c r="C83" s="21" t="s">
        <v>113</v>
      </c>
      <c r="D83" s="21" t="s">
        <v>137</v>
      </c>
      <c r="E83" s="22" t="n">
        <v>24.31</v>
      </c>
      <c r="F83" s="22" t="n">
        <v>41.12</v>
      </c>
      <c r="G83" s="23" t="n">
        <v>155</v>
      </c>
      <c r="H83" s="23" t="n">
        <v>59</v>
      </c>
      <c r="I83" s="23" t="n">
        <f aca="false">G83-H83</f>
        <v>96</v>
      </c>
      <c r="J83" s="21" t="str">
        <f aca="false">IF(I83&lt;50,"LOW-IN-STOCK","IN-STOCK")</f>
        <v>IN-STOCK</v>
      </c>
      <c r="K83" s="22" t="n">
        <f aca="false">E83*G83</f>
        <v>3768.05</v>
      </c>
      <c r="L83" s="22" t="n">
        <f aca="false">F83*H83</f>
        <v>2426.08</v>
      </c>
      <c r="M83" s="22" t="n">
        <f aca="false">L83-K83</f>
        <v>-1341.97</v>
      </c>
    </row>
    <row r="84" customFormat="false" ht="15" hidden="false" customHeight="false" outlineLevel="0" collapsed="false">
      <c r="A84" s="21" t="s">
        <v>226</v>
      </c>
      <c r="B84" s="21" t="s">
        <v>227</v>
      </c>
      <c r="C84" s="21" t="s">
        <v>148</v>
      </c>
      <c r="D84" s="21" t="s">
        <v>99</v>
      </c>
      <c r="E84" s="22" t="n">
        <v>59</v>
      </c>
      <c r="F84" s="22" t="n">
        <v>105.65</v>
      </c>
      <c r="G84" s="23" t="n">
        <v>216</v>
      </c>
      <c r="H84" s="23" t="n">
        <v>82</v>
      </c>
      <c r="I84" s="23" t="n">
        <f aca="false">G84-H84</f>
        <v>134</v>
      </c>
      <c r="J84" s="21" t="str">
        <f aca="false">IF(I84&lt;50,"LOW-IN-STOCK","IN-STOCK")</f>
        <v>IN-STOCK</v>
      </c>
      <c r="K84" s="22" t="n">
        <f aca="false">E84*G84</f>
        <v>12744</v>
      </c>
      <c r="L84" s="22" t="n">
        <f aca="false">F84*H84</f>
        <v>8663.3</v>
      </c>
      <c r="M84" s="22" t="n">
        <f aca="false">L84-K84</f>
        <v>-4080.7</v>
      </c>
    </row>
    <row r="85" customFormat="false" ht="15" hidden="false" customHeight="false" outlineLevel="0" collapsed="false">
      <c r="A85" s="21" t="s">
        <v>228</v>
      </c>
      <c r="B85" s="21" t="s">
        <v>229</v>
      </c>
      <c r="C85" s="21" t="s">
        <v>113</v>
      </c>
      <c r="D85" s="21" t="s">
        <v>102</v>
      </c>
      <c r="E85" s="22" t="n">
        <v>26.39</v>
      </c>
      <c r="F85" s="22" t="n">
        <v>44.2</v>
      </c>
      <c r="G85" s="23" t="n">
        <v>57</v>
      </c>
      <c r="H85" s="23" t="n">
        <v>42</v>
      </c>
      <c r="I85" s="23" t="n">
        <f aca="false">G85-H85</f>
        <v>15</v>
      </c>
      <c r="J85" s="21" t="str">
        <f aca="false">IF(I85&lt;50,"LOW-IN-STOCK","IN-STOCK")</f>
        <v>LOW-IN-STOCK</v>
      </c>
      <c r="K85" s="22" t="n">
        <f aca="false">E85*G85</f>
        <v>1504.23</v>
      </c>
      <c r="L85" s="22" t="n">
        <f aca="false">F85*H85</f>
        <v>1856.4</v>
      </c>
      <c r="M85" s="22" t="n">
        <f aca="false">L85-K85</f>
        <v>352.17</v>
      </c>
    </row>
    <row r="86" customFormat="false" ht="15" hidden="false" customHeight="false" outlineLevel="0" collapsed="false">
      <c r="A86" s="21" t="s">
        <v>230</v>
      </c>
      <c r="B86" s="21" t="s">
        <v>159</v>
      </c>
      <c r="C86" s="21" t="s">
        <v>93</v>
      </c>
      <c r="D86" s="21" t="s">
        <v>160</v>
      </c>
      <c r="E86" s="22" t="n">
        <v>11.99</v>
      </c>
      <c r="F86" s="22" t="n">
        <v>15.87</v>
      </c>
      <c r="G86" s="23" t="n">
        <v>349</v>
      </c>
      <c r="H86" s="23" t="n">
        <v>152</v>
      </c>
      <c r="I86" s="23" t="n">
        <f aca="false">G86-H86</f>
        <v>197</v>
      </c>
      <c r="J86" s="21" t="str">
        <f aca="false">IF(I86&lt;50,"LOW-IN-STOCK","IN-STOCK")</f>
        <v>IN-STOCK</v>
      </c>
      <c r="K86" s="22" t="n">
        <f aca="false">E86*G86</f>
        <v>4184.51</v>
      </c>
      <c r="L86" s="22" t="n">
        <f aca="false">F86*H86</f>
        <v>2412.24</v>
      </c>
      <c r="M86" s="22" t="n">
        <f aca="false">L86-K86</f>
        <v>-1772.27</v>
      </c>
    </row>
    <row r="87" customFormat="false" ht="15" hidden="false" customHeight="false" outlineLevel="0" collapsed="false">
      <c r="A87" s="21" t="s">
        <v>231</v>
      </c>
      <c r="B87" s="21" t="s">
        <v>232</v>
      </c>
      <c r="C87" s="21" t="s">
        <v>79</v>
      </c>
      <c r="D87" s="21" t="s">
        <v>108</v>
      </c>
      <c r="E87" s="22" t="n">
        <v>10.36</v>
      </c>
      <c r="F87" s="22" t="n">
        <v>15.48</v>
      </c>
      <c r="G87" s="23" t="n">
        <v>193</v>
      </c>
      <c r="H87" s="23" t="n">
        <v>116</v>
      </c>
      <c r="I87" s="23" t="n">
        <f aca="false">G87-H87</f>
        <v>77</v>
      </c>
      <c r="J87" s="21" t="str">
        <f aca="false">IF(I87&lt;50,"LOW-IN-STOCK","IN-STOCK")</f>
        <v>IN-STOCK</v>
      </c>
      <c r="K87" s="22" t="n">
        <f aca="false">E87*G87</f>
        <v>1999.48</v>
      </c>
      <c r="L87" s="22" t="n">
        <f aca="false">F87*H87</f>
        <v>1795.68</v>
      </c>
      <c r="M87" s="22" t="n">
        <f aca="false">L87-K87</f>
        <v>-203.8</v>
      </c>
    </row>
    <row r="88" customFormat="false" ht="15" hidden="false" customHeight="false" outlineLevel="0" collapsed="false">
      <c r="A88" s="21" t="s">
        <v>233</v>
      </c>
      <c r="B88" s="21" t="s">
        <v>106</v>
      </c>
      <c r="C88" s="21" t="s">
        <v>107</v>
      </c>
      <c r="D88" s="21" t="s">
        <v>80</v>
      </c>
      <c r="E88" s="22" t="n">
        <v>3.94</v>
      </c>
      <c r="F88" s="22" t="n">
        <v>6.62</v>
      </c>
      <c r="G88" s="23" t="n">
        <v>227</v>
      </c>
      <c r="H88" s="23" t="n">
        <v>116</v>
      </c>
      <c r="I88" s="23" t="n">
        <f aca="false">G88-H88</f>
        <v>111</v>
      </c>
      <c r="J88" s="21" t="str">
        <f aca="false">IF(I88&lt;50,"LOW-IN-STOCK","IN-STOCK")</f>
        <v>IN-STOCK</v>
      </c>
      <c r="K88" s="22" t="n">
        <f aca="false">E88*G88</f>
        <v>894.38</v>
      </c>
      <c r="L88" s="22" t="n">
        <f aca="false">F88*H88</f>
        <v>767.92</v>
      </c>
      <c r="M88" s="22" t="n">
        <f aca="false">L88-K88</f>
        <v>-126.46</v>
      </c>
    </row>
    <row r="89" customFormat="false" ht="15" hidden="false" customHeight="false" outlineLevel="0" collapsed="false">
      <c r="A89" s="21" t="s">
        <v>234</v>
      </c>
      <c r="B89" s="21" t="s">
        <v>235</v>
      </c>
      <c r="C89" s="21" t="s">
        <v>148</v>
      </c>
      <c r="D89" s="21" t="s">
        <v>80</v>
      </c>
      <c r="E89" s="22" t="n">
        <v>36.99</v>
      </c>
      <c r="F89" s="22" t="n">
        <v>72.16</v>
      </c>
      <c r="G89" s="23" t="n">
        <v>485</v>
      </c>
      <c r="H89" s="23" t="n">
        <v>412</v>
      </c>
      <c r="I89" s="23" t="n">
        <f aca="false">G89-H89</f>
        <v>73</v>
      </c>
      <c r="J89" s="21" t="str">
        <f aca="false">IF(I89&lt;50,"LOW-IN-STOCK","IN-STOCK")</f>
        <v>IN-STOCK</v>
      </c>
      <c r="K89" s="22" t="n">
        <f aca="false">E89*G89</f>
        <v>17940.15</v>
      </c>
      <c r="L89" s="22" t="n">
        <f aca="false">F89*H89</f>
        <v>29729.92</v>
      </c>
      <c r="M89" s="22" t="n">
        <f aca="false">L89-K89</f>
        <v>11789.77</v>
      </c>
    </row>
    <row r="90" customFormat="false" ht="15" hidden="false" customHeight="false" outlineLevel="0" collapsed="false">
      <c r="A90" s="21" t="s">
        <v>236</v>
      </c>
      <c r="B90" s="21" t="s">
        <v>97</v>
      </c>
      <c r="C90" s="21" t="s">
        <v>83</v>
      </c>
      <c r="D90" s="21" t="s">
        <v>102</v>
      </c>
      <c r="E90" s="22" t="n">
        <v>4.2</v>
      </c>
      <c r="F90" s="22" t="n">
        <v>6.14</v>
      </c>
      <c r="G90" s="23" t="n">
        <v>201</v>
      </c>
      <c r="H90" s="23" t="n">
        <v>21</v>
      </c>
      <c r="I90" s="23" t="n">
        <f aca="false">G90-H90</f>
        <v>180</v>
      </c>
      <c r="J90" s="21" t="str">
        <f aca="false">IF(I90&lt;50,"LOW-IN-STOCK","IN-STOCK")</f>
        <v>IN-STOCK</v>
      </c>
      <c r="K90" s="22" t="n">
        <f aca="false">E90*G90</f>
        <v>844.2</v>
      </c>
      <c r="L90" s="22" t="n">
        <f aca="false">F90*H90</f>
        <v>128.94</v>
      </c>
      <c r="M90" s="22" t="n">
        <f aca="false">L90-K90</f>
        <v>-715.26</v>
      </c>
    </row>
    <row r="91" customFormat="false" ht="15" hidden="false" customHeight="false" outlineLevel="0" collapsed="false">
      <c r="A91" s="21" t="s">
        <v>237</v>
      </c>
      <c r="B91" s="21" t="s">
        <v>122</v>
      </c>
      <c r="C91" s="21" t="s">
        <v>75</v>
      </c>
      <c r="D91" s="21" t="s">
        <v>76</v>
      </c>
      <c r="E91" s="22" t="n">
        <v>12.24</v>
      </c>
      <c r="F91" s="22" t="n">
        <v>21.52</v>
      </c>
      <c r="G91" s="23" t="n">
        <v>42</v>
      </c>
      <c r="H91" s="23" t="n">
        <v>7</v>
      </c>
      <c r="I91" s="23" t="n">
        <f aca="false">G91-H91</f>
        <v>35</v>
      </c>
      <c r="J91" s="21" t="str">
        <f aca="false">IF(I91&lt;50,"LOW-IN-STOCK","IN-STOCK")</f>
        <v>LOW-IN-STOCK</v>
      </c>
      <c r="K91" s="22" t="n">
        <f aca="false">E91*G91</f>
        <v>514.08</v>
      </c>
      <c r="L91" s="22" t="n">
        <f aca="false">F91*H91</f>
        <v>150.64</v>
      </c>
      <c r="M91" s="22" t="n">
        <f aca="false">L91-K91</f>
        <v>-363.44</v>
      </c>
    </row>
    <row r="92" customFormat="false" ht="15" hidden="false" customHeight="false" outlineLevel="0" collapsed="false">
      <c r="A92" s="21" t="s">
        <v>238</v>
      </c>
      <c r="B92" s="21" t="s">
        <v>239</v>
      </c>
      <c r="C92" s="21" t="s">
        <v>113</v>
      </c>
      <c r="D92" s="21" t="s">
        <v>84</v>
      </c>
      <c r="E92" s="22" t="n">
        <v>34.41</v>
      </c>
      <c r="F92" s="22" t="n">
        <v>46.82</v>
      </c>
      <c r="G92" s="23" t="n">
        <v>59</v>
      </c>
      <c r="H92" s="23" t="n">
        <v>38</v>
      </c>
      <c r="I92" s="23" t="n">
        <f aca="false">G92-H92</f>
        <v>21</v>
      </c>
      <c r="J92" s="21" t="str">
        <f aca="false">IF(I92&lt;50,"LOW-IN-STOCK","IN-STOCK")</f>
        <v>LOW-IN-STOCK</v>
      </c>
      <c r="K92" s="22" t="n">
        <f aca="false">E92*G92</f>
        <v>2030.19</v>
      </c>
      <c r="L92" s="22" t="n">
        <f aca="false">F92*H92</f>
        <v>1779.16</v>
      </c>
      <c r="M92" s="22" t="n">
        <f aca="false">L92-K92</f>
        <v>-251.03</v>
      </c>
    </row>
    <row r="93" customFormat="false" ht="15" hidden="false" customHeight="false" outlineLevel="0" collapsed="false">
      <c r="A93" s="21" t="s">
        <v>240</v>
      </c>
      <c r="B93" s="21" t="s">
        <v>86</v>
      </c>
      <c r="C93" s="21" t="s">
        <v>87</v>
      </c>
      <c r="D93" s="21" t="s">
        <v>84</v>
      </c>
      <c r="E93" s="22" t="n">
        <v>23.75</v>
      </c>
      <c r="F93" s="22" t="n">
        <v>33.69</v>
      </c>
      <c r="G93" s="23" t="n">
        <v>61</v>
      </c>
      <c r="H93" s="23" t="n">
        <v>48</v>
      </c>
      <c r="I93" s="23" t="n">
        <f aca="false">G93-H93</f>
        <v>13</v>
      </c>
      <c r="J93" s="21" t="str">
        <f aca="false">IF(I93&lt;50,"LOW-IN-STOCK","IN-STOCK")</f>
        <v>LOW-IN-STOCK</v>
      </c>
      <c r="K93" s="22" t="n">
        <f aca="false">E93*G93</f>
        <v>1448.75</v>
      </c>
      <c r="L93" s="22" t="n">
        <f aca="false">F93*H93</f>
        <v>1617.12</v>
      </c>
      <c r="M93" s="22" t="n">
        <f aca="false">L93-K93</f>
        <v>168.37</v>
      </c>
    </row>
    <row r="94" customFormat="false" ht="15" hidden="false" customHeight="false" outlineLevel="0" collapsed="false">
      <c r="A94" s="21" t="s">
        <v>241</v>
      </c>
      <c r="B94" s="21" t="s">
        <v>126</v>
      </c>
      <c r="C94" s="21" t="s">
        <v>79</v>
      </c>
      <c r="D94" s="21" t="s">
        <v>160</v>
      </c>
      <c r="E94" s="22" t="n">
        <v>5.53</v>
      </c>
      <c r="F94" s="22" t="n">
        <v>9.72</v>
      </c>
      <c r="G94" s="23" t="n">
        <v>499</v>
      </c>
      <c r="H94" s="23" t="n">
        <v>133</v>
      </c>
      <c r="I94" s="23" t="n">
        <f aca="false">G94-H94</f>
        <v>366</v>
      </c>
      <c r="J94" s="21" t="str">
        <f aca="false">IF(I94&lt;50,"LOW-IN-STOCK","IN-STOCK")</f>
        <v>IN-STOCK</v>
      </c>
      <c r="K94" s="22" t="n">
        <f aca="false">E94*G94</f>
        <v>2759.47</v>
      </c>
      <c r="L94" s="22" t="n">
        <f aca="false">F94*H94</f>
        <v>1292.76</v>
      </c>
      <c r="M94" s="22" t="n">
        <f aca="false">L94-K94</f>
        <v>-1466.71</v>
      </c>
    </row>
    <row r="95" customFormat="false" ht="15" hidden="false" customHeight="false" outlineLevel="0" collapsed="false">
      <c r="A95" s="21" t="s">
        <v>242</v>
      </c>
      <c r="B95" s="21" t="s">
        <v>243</v>
      </c>
      <c r="C95" s="21" t="s">
        <v>113</v>
      </c>
      <c r="D95" s="21" t="s">
        <v>137</v>
      </c>
      <c r="E95" s="22" t="n">
        <v>13.56</v>
      </c>
      <c r="F95" s="22" t="n">
        <v>23.12</v>
      </c>
      <c r="G95" s="23" t="n">
        <v>25</v>
      </c>
      <c r="H95" s="23" t="n">
        <v>17</v>
      </c>
      <c r="I95" s="23" t="n">
        <f aca="false">G95-H95</f>
        <v>8</v>
      </c>
      <c r="J95" s="21" t="str">
        <f aca="false">IF(I95&lt;50,"LOW-IN-STOCK","IN-STOCK")</f>
        <v>LOW-IN-STOCK</v>
      </c>
      <c r="K95" s="22" t="n">
        <f aca="false">E95*G95</f>
        <v>339</v>
      </c>
      <c r="L95" s="22" t="n">
        <f aca="false">F95*H95</f>
        <v>393.04</v>
      </c>
      <c r="M95" s="22" t="n">
        <f aca="false">L95-K95</f>
        <v>54.04</v>
      </c>
    </row>
    <row r="96" customFormat="false" ht="15" hidden="false" customHeight="false" outlineLevel="0" collapsed="false">
      <c r="A96" s="21" t="s">
        <v>244</v>
      </c>
      <c r="B96" s="21" t="s">
        <v>126</v>
      </c>
      <c r="C96" s="21" t="s">
        <v>79</v>
      </c>
      <c r="D96" s="21" t="s">
        <v>108</v>
      </c>
      <c r="E96" s="22" t="n">
        <v>2.73</v>
      </c>
      <c r="F96" s="22" t="n">
        <v>5.71</v>
      </c>
      <c r="G96" s="23" t="n">
        <v>276</v>
      </c>
      <c r="H96" s="23" t="n">
        <v>101</v>
      </c>
      <c r="I96" s="23" t="n">
        <f aca="false">G96-H96</f>
        <v>175</v>
      </c>
      <c r="J96" s="21" t="str">
        <f aca="false">IF(I96&lt;50,"LOW-IN-STOCK","IN-STOCK")</f>
        <v>IN-STOCK</v>
      </c>
      <c r="K96" s="22" t="n">
        <f aca="false">E96*G96</f>
        <v>753.48</v>
      </c>
      <c r="L96" s="22" t="n">
        <f aca="false">F96*H96</f>
        <v>576.71</v>
      </c>
      <c r="M96" s="22" t="n">
        <f aca="false">L96-K96</f>
        <v>-176.77</v>
      </c>
    </row>
    <row r="97" customFormat="false" ht="15" hidden="false" customHeight="false" outlineLevel="0" collapsed="false">
      <c r="A97" s="21" t="s">
        <v>245</v>
      </c>
      <c r="B97" s="21" t="s">
        <v>246</v>
      </c>
      <c r="C97" s="21" t="s">
        <v>75</v>
      </c>
      <c r="D97" s="21" t="s">
        <v>80</v>
      </c>
      <c r="E97" s="22" t="n">
        <v>18.5</v>
      </c>
      <c r="F97" s="22" t="n">
        <v>39.69</v>
      </c>
      <c r="G97" s="23" t="n">
        <v>130</v>
      </c>
      <c r="H97" s="23" t="n">
        <v>39</v>
      </c>
      <c r="I97" s="23" t="n">
        <f aca="false">G97-H97</f>
        <v>91</v>
      </c>
      <c r="J97" s="21" t="str">
        <f aca="false">IF(I97&lt;50,"LOW-IN-STOCK","IN-STOCK")</f>
        <v>IN-STOCK</v>
      </c>
      <c r="K97" s="22" t="n">
        <f aca="false">E97*G97</f>
        <v>2405</v>
      </c>
      <c r="L97" s="22" t="n">
        <f aca="false">F97*H97</f>
        <v>1547.91</v>
      </c>
      <c r="M97" s="22" t="n">
        <f aca="false">L97-K97</f>
        <v>-857.09</v>
      </c>
    </row>
    <row r="98" customFormat="false" ht="15" hidden="false" customHeight="false" outlineLevel="0" collapsed="false">
      <c r="A98" s="21" t="s">
        <v>247</v>
      </c>
      <c r="B98" s="21" t="s">
        <v>211</v>
      </c>
      <c r="C98" s="21" t="s">
        <v>113</v>
      </c>
      <c r="D98" s="21" t="s">
        <v>114</v>
      </c>
      <c r="E98" s="22" t="n">
        <v>4.47</v>
      </c>
      <c r="F98" s="22" t="n">
        <v>9.16</v>
      </c>
      <c r="G98" s="23" t="n">
        <v>73</v>
      </c>
      <c r="H98" s="23" t="n">
        <v>32</v>
      </c>
      <c r="I98" s="23" t="n">
        <f aca="false">G98-H98</f>
        <v>41</v>
      </c>
      <c r="J98" s="21" t="str">
        <f aca="false">IF(I98&lt;50,"LOW-IN-STOCK","IN-STOCK")</f>
        <v>LOW-IN-STOCK</v>
      </c>
      <c r="K98" s="22" t="n">
        <f aca="false">E98*G98</f>
        <v>326.31</v>
      </c>
      <c r="L98" s="22" t="n">
        <f aca="false">F98*H98</f>
        <v>293.12</v>
      </c>
      <c r="M98" s="22" t="n">
        <f aca="false">L98-K98</f>
        <v>-33.19</v>
      </c>
    </row>
    <row r="99" customFormat="false" ht="15" hidden="false" customHeight="false" outlineLevel="0" collapsed="false">
      <c r="A99" s="21" t="s">
        <v>248</v>
      </c>
      <c r="B99" s="21" t="s">
        <v>152</v>
      </c>
      <c r="C99" s="21" t="s">
        <v>87</v>
      </c>
      <c r="D99" s="21" t="s">
        <v>84</v>
      </c>
      <c r="E99" s="22" t="n">
        <v>13.4</v>
      </c>
      <c r="F99" s="22" t="n">
        <v>17.42</v>
      </c>
      <c r="G99" s="23" t="n">
        <v>353</v>
      </c>
      <c r="H99" s="23" t="n">
        <v>158</v>
      </c>
      <c r="I99" s="23" t="n">
        <f aca="false">G99-H99</f>
        <v>195</v>
      </c>
      <c r="J99" s="21" t="str">
        <f aca="false">IF(I99&lt;50,"LOW-IN-STOCK","IN-STOCK")</f>
        <v>IN-STOCK</v>
      </c>
      <c r="K99" s="22" t="n">
        <f aca="false">E99*G99</f>
        <v>4730.2</v>
      </c>
      <c r="L99" s="22" t="n">
        <f aca="false">F99*H99</f>
        <v>2752.36</v>
      </c>
      <c r="M99" s="22" t="n">
        <f aca="false">L99-K99</f>
        <v>-1977.84</v>
      </c>
    </row>
    <row r="100" customFormat="false" ht="15" hidden="false" customHeight="false" outlineLevel="0" collapsed="false">
      <c r="A100" s="21" t="s">
        <v>249</v>
      </c>
      <c r="B100" s="21" t="s">
        <v>250</v>
      </c>
      <c r="C100" s="21" t="s">
        <v>79</v>
      </c>
      <c r="D100" s="21" t="s">
        <v>84</v>
      </c>
      <c r="E100" s="22" t="n">
        <v>7.45</v>
      </c>
      <c r="F100" s="22" t="n">
        <v>13.67</v>
      </c>
      <c r="G100" s="23" t="n">
        <v>130</v>
      </c>
      <c r="H100" s="23" t="n">
        <v>56</v>
      </c>
      <c r="I100" s="23" t="n">
        <f aca="false">G100-H100</f>
        <v>74</v>
      </c>
      <c r="J100" s="21" t="str">
        <f aca="false">IF(I100&lt;50,"LOW-IN-STOCK","IN-STOCK")</f>
        <v>IN-STOCK</v>
      </c>
      <c r="K100" s="22" t="n">
        <f aca="false">E100*G100</f>
        <v>968.5</v>
      </c>
      <c r="L100" s="22" t="n">
        <f aca="false">F100*H100</f>
        <v>765.52</v>
      </c>
      <c r="M100" s="22" t="n">
        <f aca="false">L100-K100</f>
        <v>-202.98</v>
      </c>
    </row>
    <row r="101" customFormat="false" ht="15" hidden="false" customHeight="false" outlineLevel="0" collapsed="false">
      <c r="A101" s="21" t="s">
        <v>251</v>
      </c>
      <c r="B101" s="21" t="s">
        <v>174</v>
      </c>
      <c r="C101" s="21" t="s">
        <v>113</v>
      </c>
      <c r="D101" s="21" t="s">
        <v>80</v>
      </c>
      <c r="E101" s="22" t="n">
        <v>30.91</v>
      </c>
      <c r="F101" s="22" t="n">
        <v>47.77</v>
      </c>
      <c r="G101" s="23" t="n">
        <v>486</v>
      </c>
      <c r="H101" s="23" t="n">
        <v>351</v>
      </c>
      <c r="I101" s="23" t="n">
        <f aca="false">G101-H101</f>
        <v>135</v>
      </c>
      <c r="J101" s="21" t="str">
        <f aca="false">IF(I101&lt;50,"LOW-IN-STOCK","IN-STOCK")</f>
        <v>IN-STOCK</v>
      </c>
      <c r="K101" s="22" t="n">
        <f aca="false">E101*G101</f>
        <v>15022.26</v>
      </c>
      <c r="L101" s="22" t="n">
        <f aca="false">F101*H101</f>
        <v>16767.27</v>
      </c>
      <c r="M101" s="22" t="n">
        <f aca="false">L101-K101</f>
        <v>1745.01</v>
      </c>
    </row>
    <row r="102" customFormat="false" ht="15" hidden="false" customHeight="false" outlineLevel="0" collapsed="false">
      <c r="A102" s="21" t="s">
        <v>252</v>
      </c>
      <c r="B102" s="21" t="s">
        <v>159</v>
      </c>
      <c r="C102" s="21" t="s">
        <v>93</v>
      </c>
      <c r="D102" s="21" t="s">
        <v>114</v>
      </c>
      <c r="E102" s="22" t="n">
        <v>9.88</v>
      </c>
      <c r="F102" s="22" t="n">
        <v>15.47</v>
      </c>
      <c r="G102" s="23" t="n">
        <v>277</v>
      </c>
      <c r="H102" s="23" t="n">
        <v>154</v>
      </c>
      <c r="I102" s="23" t="n">
        <f aca="false">G102-H102</f>
        <v>123</v>
      </c>
      <c r="J102" s="21" t="str">
        <f aca="false">IF(I102&lt;50,"LOW-IN-STOCK","IN-STOCK")</f>
        <v>IN-STOCK</v>
      </c>
      <c r="K102" s="22" t="n">
        <f aca="false">E102*G102</f>
        <v>2736.76</v>
      </c>
      <c r="L102" s="22" t="n">
        <f aca="false">F102*H102</f>
        <v>2382.38</v>
      </c>
      <c r="M102" s="22" t="n">
        <f aca="false">L102-K102</f>
        <v>-354.38</v>
      </c>
    </row>
    <row r="103" customFormat="false" ht="15" hidden="false" customHeight="false" outlineLevel="0" collapsed="false">
      <c r="A103" s="21" t="s">
        <v>253</v>
      </c>
      <c r="B103" s="21" t="s">
        <v>112</v>
      </c>
      <c r="C103" s="21" t="s">
        <v>113</v>
      </c>
      <c r="D103" s="21" t="s">
        <v>84</v>
      </c>
      <c r="E103" s="22" t="n">
        <v>11.55</v>
      </c>
      <c r="F103" s="22" t="n">
        <v>24.87</v>
      </c>
      <c r="G103" s="23" t="n">
        <v>163</v>
      </c>
      <c r="H103" s="23" t="n">
        <v>148</v>
      </c>
      <c r="I103" s="23" t="n">
        <f aca="false">G103-H103</f>
        <v>15</v>
      </c>
      <c r="J103" s="21" t="str">
        <f aca="false">IF(I103&lt;50,"LOW-IN-STOCK","IN-STOCK")</f>
        <v>LOW-IN-STOCK</v>
      </c>
      <c r="K103" s="22" t="n">
        <f aca="false">E103*G103</f>
        <v>1882.65</v>
      </c>
      <c r="L103" s="22" t="n">
        <f aca="false">F103*H103</f>
        <v>3680.76</v>
      </c>
      <c r="M103" s="22" t="n">
        <f aca="false">L103-K103</f>
        <v>1798.11</v>
      </c>
    </row>
    <row r="104" customFormat="false" ht="15" hidden="false" customHeight="false" outlineLevel="0" collapsed="false">
      <c r="A104" s="21" t="s">
        <v>254</v>
      </c>
      <c r="B104" s="21" t="s">
        <v>78</v>
      </c>
      <c r="C104" s="21" t="s">
        <v>79</v>
      </c>
      <c r="D104" s="21" t="s">
        <v>99</v>
      </c>
      <c r="E104" s="22" t="n">
        <v>3.66</v>
      </c>
      <c r="F104" s="22" t="n">
        <v>5.64</v>
      </c>
      <c r="G104" s="23" t="n">
        <v>440</v>
      </c>
      <c r="H104" s="23" t="n">
        <v>143</v>
      </c>
      <c r="I104" s="23" t="n">
        <f aca="false">G104-H104</f>
        <v>297</v>
      </c>
      <c r="J104" s="21" t="str">
        <f aca="false">IF(I104&lt;50,"LOW-IN-STOCK","IN-STOCK")</f>
        <v>IN-STOCK</v>
      </c>
      <c r="K104" s="22" t="n">
        <f aca="false">E104*G104</f>
        <v>1610.4</v>
      </c>
      <c r="L104" s="22" t="n">
        <f aca="false">F104*H104</f>
        <v>806.52</v>
      </c>
      <c r="M104" s="22" t="n">
        <f aca="false">L104-K104</f>
        <v>-803.88</v>
      </c>
    </row>
    <row r="105" customFormat="false" ht="15" hidden="false" customHeight="false" outlineLevel="0" collapsed="false">
      <c r="A105" s="21" t="s">
        <v>255</v>
      </c>
      <c r="B105" s="21" t="s">
        <v>150</v>
      </c>
      <c r="C105" s="21" t="s">
        <v>148</v>
      </c>
      <c r="D105" s="21" t="s">
        <v>160</v>
      </c>
      <c r="E105" s="22" t="n">
        <v>35.15</v>
      </c>
      <c r="F105" s="22" t="n">
        <v>48.36</v>
      </c>
      <c r="G105" s="23" t="n">
        <v>331</v>
      </c>
      <c r="H105" s="23" t="n">
        <v>276</v>
      </c>
      <c r="I105" s="23" t="n">
        <f aca="false">G105-H105</f>
        <v>55</v>
      </c>
      <c r="J105" s="21" t="str">
        <f aca="false">IF(I105&lt;50,"LOW-IN-STOCK","IN-STOCK")</f>
        <v>IN-STOCK</v>
      </c>
      <c r="K105" s="22" t="n">
        <f aca="false">E105*G105</f>
        <v>11634.65</v>
      </c>
      <c r="L105" s="22" t="n">
        <f aca="false">F105*H105</f>
        <v>13347.36</v>
      </c>
      <c r="M105" s="22" t="n">
        <f aca="false">L105-K105</f>
        <v>1712.71</v>
      </c>
    </row>
    <row r="106" customFormat="false" ht="15" hidden="false" customHeight="false" outlineLevel="0" collapsed="false">
      <c r="A106" s="21" t="s">
        <v>256</v>
      </c>
      <c r="B106" s="21" t="s">
        <v>166</v>
      </c>
      <c r="C106" s="21" t="s">
        <v>93</v>
      </c>
      <c r="D106" s="21" t="s">
        <v>80</v>
      </c>
      <c r="E106" s="22" t="n">
        <v>7.58</v>
      </c>
      <c r="F106" s="22" t="n">
        <v>12.38</v>
      </c>
      <c r="G106" s="23" t="n">
        <v>195</v>
      </c>
      <c r="H106" s="23" t="n">
        <v>178</v>
      </c>
      <c r="I106" s="23" t="n">
        <f aca="false">G106-H106</f>
        <v>17</v>
      </c>
      <c r="J106" s="21" t="str">
        <f aca="false">IF(I106&lt;50,"LOW-IN-STOCK","IN-STOCK")</f>
        <v>LOW-IN-STOCK</v>
      </c>
      <c r="K106" s="22" t="n">
        <f aca="false">E106*G106</f>
        <v>1478.1</v>
      </c>
      <c r="L106" s="22" t="n">
        <f aca="false">F106*H106</f>
        <v>2203.64</v>
      </c>
      <c r="M106" s="22" t="n">
        <f aca="false">L106-K106</f>
        <v>725.54</v>
      </c>
    </row>
    <row r="107" customFormat="false" ht="15" hidden="false" customHeight="false" outlineLevel="0" collapsed="false">
      <c r="A107" s="21" t="s">
        <v>257</v>
      </c>
      <c r="B107" s="21" t="s">
        <v>104</v>
      </c>
      <c r="C107" s="21" t="s">
        <v>75</v>
      </c>
      <c r="D107" s="21" t="s">
        <v>114</v>
      </c>
      <c r="E107" s="22" t="n">
        <v>2.21</v>
      </c>
      <c r="F107" s="22" t="n">
        <v>4.69</v>
      </c>
      <c r="G107" s="23" t="n">
        <v>400</v>
      </c>
      <c r="H107" s="23" t="n">
        <v>88</v>
      </c>
      <c r="I107" s="23" t="n">
        <f aca="false">G107-H107</f>
        <v>312</v>
      </c>
      <c r="J107" s="21" t="str">
        <f aca="false">IF(I107&lt;50,"LOW-IN-STOCK","IN-STOCK")</f>
        <v>IN-STOCK</v>
      </c>
      <c r="K107" s="22" t="n">
        <f aca="false">E107*G107</f>
        <v>884</v>
      </c>
      <c r="L107" s="22" t="n">
        <f aca="false">F107*H107</f>
        <v>412.72</v>
      </c>
      <c r="M107" s="22" t="n">
        <f aca="false">L107-K107</f>
        <v>-471.28</v>
      </c>
    </row>
    <row r="108" customFormat="false" ht="15" hidden="false" customHeight="false" outlineLevel="0" collapsed="false">
      <c r="A108" s="21" t="s">
        <v>258</v>
      </c>
      <c r="B108" s="21" t="s">
        <v>250</v>
      </c>
      <c r="C108" s="21" t="s">
        <v>79</v>
      </c>
      <c r="D108" s="21" t="s">
        <v>160</v>
      </c>
      <c r="E108" s="22" t="n">
        <v>11.37</v>
      </c>
      <c r="F108" s="22" t="n">
        <v>17.74</v>
      </c>
      <c r="G108" s="23" t="n">
        <v>234</v>
      </c>
      <c r="H108" s="23" t="n">
        <v>177</v>
      </c>
      <c r="I108" s="23" t="n">
        <f aca="false">G108-H108</f>
        <v>57</v>
      </c>
      <c r="J108" s="21" t="str">
        <f aca="false">IF(I108&lt;50,"LOW-IN-STOCK","IN-STOCK")</f>
        <v>IN-STOCK</v>
      </c>
      <c r="K108" s="22" t="n">
        <f aca="false">E108*G108</f>
        <v>2660.58</v>
      </c>
      <c r="L108" s="22" t="n">
        <f aca="false">F108*H108</f>
        <v>3139.98</v>
      </c>
      <c r="M108" s="22" t="n">
        <f aca="false">L108-K108</f>
        <v>479.4</v>
      </c>
    </row>
    <row r="109" customFormat="false" ht="15" hidden="false" customHeight="false" outlineLevel="0" collapsed="false">
      <c r="A109" s="21" t="s">
        <v>259</v>
      </c>
      <c r="B109" s="21" t="s">
        <v>191</v>
      </c>
      <c r="C109" s="21" t="s">
        <v>148</v>
      </c>
      <c r="D109" s="21" t="s">
        <v>114</v>
      </c>
      <c r="E109" s="22" t="n">
        <v>4.11</v>
      </c>
      <c r="F109" s="22" t="n">
        <v>5.92</v>
      </c>
      <c r="G109" s="23" t="n">
        <v>194</v>
      </c>
      <c r="H109" s="23" t="n">
        <v>42</v>
      </c>
      <c r="I109" s="23" t="n">
        <f aca="false">G109-H109</f>
        <v>152</v>
      </c>
      <c r="J109" s="21" t="str">
        <f aca="false">IF(I109&lt;50,"LOW-IN-STOCK","IN-STOCK")</f>
        <v>IN-STOCK</v>
      </c>
      <c r="K109" s="22" t="n">
        <f aca="false">E109*G109</f>
        <v>797.34</v>
      </c>
      <c r="L109" s="22" t="n">
        <f aca="false">F109*H109</f>
        <v>248.64</v>
      </c>
      <c r="M109" s="22" t="n">
        <f aca="false">L109-K109</f>
        <v>-548.7</v>
      </c>
    </row>
    <row r="110" customFormat="false" ht="15" hidden="false" customHeight="false" outlineLevel="0" collapsed="false">
      <c r="A110" s="21" t="s">
        <v>260</v>
      </c>
      <c r="B110" s="21" t="s">
        <v>216</v>
      </c>
      <c r="C110" s="21" t="s">
        <v>107</v>
      </c>
      <c r="D110" s="21" t="s">
        <v>76</v>
      </c>
      <c r="E110" s="22" t="n">
        <v>0.67</v>
      </c>
      <c r="F110" s="22" t="n">
        <v>1.39</v>
      </c>
      <c r="G110" s="23" t="n">
        <v>478</v>
      </c>
      <c r="H110" s="23" t="n">
        <v>237</v>
      </c>
      <c r="I110" s="23" t="n">
        <f aca="false">G110-H110</f>
        <v>241</v>
      </c>
      <c r="J110" s="21" t="str">
        <f aca="false">IF(I110&lt;50,"LOW-IN-STOCK","IN-STOCK")</f>
        <v>IN-STOCK</v>
      </c>
      <c r="K110" s="22" t="n">
        <f aca="false">E110*G110</f>
        <v>320.26</v>
      </c>
      <c r="L110" s="22" t="n">
        <f aca="false">F110*H110</f>
        <v>329.43</v>
      </c>
      <c r="M110" s="22" t="n">
        <f aca="false">L110-K110</f>
        <v>9.16999999999996</v>
      </c>
    </row>
    <row r="111" customFormat="false" ht="15" hidden="false" customHeight="false" outlineLevel="0" collapsed="false">
      <c r="A111" s="21" t="s">
        <v>261</v>
      </c>
      <c r="B111" s="21" t="s">
        <v>262</v>
      </c>
      <c r="C111" s="21" t="s">
        <v>75</v>
      </c>
      <c r="D111" s="21" t="s">
        <v>102</v>
      </c>
      <c r="E111" s="22" t="n">
        <v>12.78</v>
      </c>
      <c r="F111" s="22" t="n">
        <v>20.52</v>
      </c>
      <c r="G111" s="23" t="n">
        <v>457</v>
      </c>
      <c r="H111" s="23" t="n">
        <v>322</v>
      </c>
      <c r="I111" s="23" t="n">
        <f aca="false">G111-H111</f>
        <v>135</v>
      </c>
      <c r="J111" s="21" t="str">
        <f aca="false">IF(I111&lt;50,"LOW-IN-STOCK","IN-STOCK")</f>
        <v>IN-STOCK</v>
      </c>
      <c r="K111" s="22" t="n">
        <f aca="false">E111*G111</f>
        <v>5840.46</v>
      </c>
      <c r="L111" s="22" t="n">
        <f aca="false">F111*H111</f>
        <v>6607.44</v>
      </c>
      <c r="M111" s="22" t="n">
        <f aca="false">L111-K111</f>
        <v>766.98</v>
      </c>
    </row>
    <row r="112" customFormat="false" ht="15" hidden="false" customHeight="false" outlineLevel="0" collapsed="false">
      <c r="A112" s="21" t="s">
        <v>263</v>
      </c>
      <c r="B112" s="21" t="s">
        <v>184</v>
      </c>
      <c r="C112" s="21" t="s">
        <v>148</v>
      </c>
      <c r="D112" s="21" t="s">
        <v>102</v>
      </c>
      <c r="E112" s="22" t="n">
        <v>22.37</v>
      </c>
      <c r="F112" s="22" t="n">
        <v>36.57</v>
      </c>
      <c r="G112" s="23" t="n">
        <v>105</v>
      </c>
      <c r="H112" s="23" t="n">
        <v>27</v>
      </c>
      <c r="I112" s="23" t="n">
        <f aca="false">G112-H112</f>
        <v>78</v>
      </c>
      <c r="J112" s="21" t="str">
        <f aca="false">IF(I112&lt;50,"LOW-IN-STOCK","IN-STOCK")</f>
        <v>IN-STOCK</v>
      </c>
      <c r="K112" s="22" t="n">
        <f aca="false">E112*G112</f>
        <v>2348.85</v>
      </c>
      <c r="L112" s="22" t="n">
        <f aca="false">F112*H112</f>
        <v>987.39</v>
      </c>
      <c r="M112" s="22" t="n">
        <f aca="false">L112-K112</f>
        <v>-1361.46</v>
      </c>
    </row>
    <row r="113" customFormat="false" ht="15" hidden="false" customHeight="false" outlineLevel="0" collapsed="false">
      <c r="A113" s="21" t="s">
        <v>264</v>
      </c>
      <c r="B113" s="21" t="s">
        <v>239</v>
      </c>
      <c r="C113" s="21" t="s">
        <v>113</v>
      </c>
      <c r="D113" s="21" t="s">
        <v>114</v>
      </c>
      <c r="E113" s="22" t="n">
        <v>21.84</v>
      </c>
      <c r="F113" s="22" t="n">
        <v>30.35</v>
      </c>
      <c r="G113" s="23" t="n">
        <v>490</v>
      </c>
      <c r="H113" s="23" t="n">
        <v>58</v>
      </c>
      <c r="I113" s="23" t="n">
        <f aca="false">G113-H113</f>
        <v>432</v>
      </c>
      <c r="J113" s="21" t="str">
        <f aca="false">IF(I113&lt;50,"LOW-IN-STOCK","IN-STOCK")</f>
        <v>IN-STOCK</v>
      </c>
      <c r="K113" s="22" t="n">
        <f aca="false">E113*G113</f>
        <v>10701.6</v>
      </c>
      <c r="L113" s="22" t="n">
        <f aca="false">F113*H113</f>
        <v>1760.3</v>
      </c>
      <c r="M113" s="22" t="n">
        <f aca="false">L113-K113</f>
        <v>-8941.3</v>
      </c>
    </row>
    <row r="114" customFormat="false" ht="15" hidden="false" customHeight="false" outlineLevel="0" collapsed="false">
      <c r="A114" s="21" t="s">
        <v>265</v>
      </c>
      <c r="B114" s="21" t="s">
        <v>166</v>
      </c>
      <c r="C114" s="21" t="s">
        <v>93</v>
      </c>
      <c r="D114" s="21" t="s">
        <v>108</v>
      </c>
      <c r="E114" s="22" t="n">
        <v>4.44</v>
      </c>
      <c r="F114" s="22" t="n">
        <v>9.33</v>
      </c>
      <c r="G114" s="23" t="n">
        <v>463</v>
      </c>
      <c r="H114" s="23" t="n">
        <v>177</v>
      </c>
      <c r="I114" s="23" t="n">
        <f aca="false">G114-H114</f>
        <v>286</v>
      </c>
      <c r="J114" s="21" t="str">
        <f aca="false">IF(I114&lt;50,"LOW-IN-STOCK","IN-STOCK")</f>
        <v>IN-STOCK</v>
      </c>
      <c r="K114" s="22" t="n">
        <f aca="false">E114*G114</f>
        <v>2055.72</v>
      </c>
      <c r="L114" s="22" t="n">
        <f aca="false">F114*H114</f>
        <v>1651.41</v>
      </c>
      <c r="M114" s="22" t="n">
        <f aca="false">L114-K114</f>
        <v>-404.31</v>
      </c>
    </row>
    <row r="115" customFormat="false" ht="15" hidden="false" customHeight="false" outlineLevel="0" collapsed="false">
      <c r="A115" s="21" t="s">
        <v>266</v>
      </c>
      <c r="B115" s="21" t="s">
        <v>267</v>
      </c>
      <c r="C115" s="21" t="s">
        <v>148</v>
      </c>
      <c r="D115" s="21" t="s">
        <v>88</v>
      </c>
      <c r="E115" s="22" t="n">
        <v>11.71</v>
      </c>
      <c r="F115" s="22" t="n">
        <v>20.52</v>
      </c>
      <c r="G115" s="23" t="n">
        <v>94</v>
      </c>
      <c r="H115" s="23" t="n">
        <v>37</v>
      </c>
      <c r="I115" s="23" t="n">
        <f aca="false">G115-H115</f>
        <v>57</v>
      </c>
      <c r="J115" s="21" t="str">
        <f aca="false">IF(I115&lt;50,"LOW-IN-STOCK","IN-STOCK")</f>
        <v>IN-STOCK</v>
      </c>
      <c r="K115" s="22" t="n">
        <f aca="false">E115*G115</f>
        <v>1100.74</v>
      </c>
      <c r="L115" s="22" t="n">
        <f aca="false">F115*H115</f>
        <v>759.24</v>
      </c>
      <c r="M115" s="22" t="n">
        <f aca="false">L115-K115</f>
        <v>-341.5</v>
      </c>
    </row>
    <row r="116" customFormat="false" ht="15" hidden="false" customHeight="false" outlineLevel="0" collapsed="false">
      <c r="A116" s="21" t="s">
        <v>268</v>
      </c>
      <c r="B116" s="21" t="s">
        <v>164</v>
      </c>
      <c r="C116" s="21" t="s">
        <v>93</v>
      </c>
      <c r="D116" s="21" t="s">
        <v>84</v>
      </c>
      <c r="E116" s="22" t="n">
        <v>7.52</v>
      </c>
      <c r="F116" s="22" t="n">
        <v>13.57</v>
      </c>
      <c r="G116" s="23" t="n">
        <v>296</v>
      </c>
      <c r="H116" s="23" t="n">
        <v>99</v>
      </c>
      <c r="I116" s="23" t="n">
        <f aca="false">G116-H116</f>
        <v>197</v>
      </c>
      <c r="J116" s="21" t="str">
        <f aca="false">IF(I116&lt;50,"LOW-IN-STOCK","IN-STOCK")</f>
        <v>IN-STOCK</v>
      </c>
      <c r="K116" s="22" t="n">
        <f aca="false">E116*G116</f>
        <v>2225.92</v>
      </c>
      <c r="L116" s="22" t="n">
        <f aca="false">F116*H116</f>
        <v>1343.43</v>
      </c>
      <c r="M116" s="22" t="n">
        <f aca="false">L116-K116</f>
        <v>-882.49</v>
      </c>
    </row>
    <row r="117" customFormat="false" ht="15" hidden="false" customHeight="false" outlineLevel="0" collapsed="false">
      <c r="A117" s="21" t="s">
        <v>269</v>
      </c>
      <c r="B117" s="21" t="s">
        <v>124</v>
      </c>
      <c r="C117" s="21" t="s">
        <v>79</v>
      </c>
      <c r="D117" s="21" t="s">
        <v>114</v>
      </c>
      <c r="E117" s="22" t="n">
        <v>4.02</v>
      </c>
      <c r="F117" s="22" t="n">
        <v>6.5</v>
      </c>
      <c r="G117" s="23" t="n">
        <v>83</v>
      </c>
      <c r="H117" s="23" t="n">
        <v>73</v>
      </c>
      <c r="I117" s="23" t="n">
        <f aca="false">G117-H117</f>
        <v>10</v>
      </c>
      <c r="J117" s="21" t="str">
        <f aca="false">IF(I117&lt;50,"LOW-IN-STOCK","IN-STOCK")</f>
        <v>LOW-IN-STOCK</v>
      </c>
      <c r="K117" s="22" t="n">
        <f aca="false">E117*G117</f>
        <v>333.66</v>
      </c>
      <c r="L117" s="22" t="n">
        <f aca="false">F117*H117</f>
        <v>474.5</v>
      </c>
      <c r="M117" s="22" t="n">
        <f aca="false">L117-K117</f>
        <v>140.84</v>
      </c>
    </row>
    <row r="118" customFormat="false" ht="15" hidden="false" customHeight="false" outlineLevel="0" collapsed="false">
      <c r="A118" s="21" t="s">
        <v>270</v>
      </c>
      <c r="B118" s="21" t="s">
        <v>211</v>
      </c>
      <c r="C118" s="21" t="s">
        <v>113</v>
      </c>
      <c r="D118" s="21" t="s">
        <v>160</v>
      </c>
      <c r="E118" s="22" t="n">
        <v>16.59</v>
      </c>
      <c r="F118" s="22" t="n">
        <v>35.35</v>
      </c>
      <c r="G118" s="23" t="n">
        <v>97</v>
      </c>
      <c r="H118" s="23" t="n">
        <v>32</v>
      </c>
      <c r="I118" s="23" t="n">
        <f aca="false">G118-H118</f>
        <v>65</v>
      </c>
      <c r="J118" s="21" t="str">
        <f aca="false">IF(I118&lt;50,"LOW-IN-STOCK","IN-STOCK")</f>
        <v>IN-STOCK</v>
      </c>
      <c r="K118" s="22" t="n">
        <f aca="false">E118*G118</f>
        <v>1609.23</v>
      </c>
      <c r="L118" s="22" t="n">
        <f aca="false">F118*H118</f>
        <v>1131.2</v>
      </c>
      <c r="M118" s="22" t="n">
        <f aca="false">L118-K118</f>
        <v>-478.03</v>
      </c>
    </row>
    <row r="119" customFormat="false" ht="15" hidden="false" customHeight="false" outlineLevel="0" collapsed="false">
      <c r="A119" s="21" t="s">
        <v>271</v>
      </c>
      <c r="B119" s="21" t="s">
        <v>162</v>
      </c>
      <c r="C119" s="21" t="s">
        <v>113</v>
      </c>
      <c r="D119" s="21" t="s">
        <v>76</v>
      </c>
      <c r="E119" s="22" t="n">
        <v>6.17</v>
      </c>
      <c r="F119" s="22" t="n">
        <v>10.82</v>
      </c>
      <c r="G119" s="23" t="n">
        <v>397</v>
      </c>
      <c r="H119" s="23" t="n">
        <v>279</v>
      </c>
      <c r="I119" s="23" t="n">
        <f aca="false">G119-H119</f>
        <v>118</v>
      </c>
      <c r="J119" s="21" t="str">
        <f aca="false">IF(I119&lt;50,"LOW-IN-STOCK","IN-STOCK")</f>
        <v>IN-STOCK</v>
      </c>
      <c r="K119" s="22" t="n">
        <f aca="false">E119*G119</f>
        <v>2449.49</v>
      </c>
      <c r="L119" s="22" t="n">
        <f aca="false">F119*H119</f>
        <v>3018.78</v>
      </c>
      <c r="M119" s="22" t="n">
        <f aca="false">L119-K119</f>
        <v>569.29</v>
      </c>
    </row>
    <row r="120" customFormat="false" ht="15" hidden="false" customHeight="false" outlineLevel="0" collapsed="false">
      <c r="A120" s="21" t="s">
        <v>272</v>
      </c>
      <c r="B120" s="21" t="s">
        <v>229</v>
      </c>
      <c r="C120" s="21" t="s">
        <v>113</v>
      </c>
      <c r="D120" s="21" t="s">
        <v>76</v>
      </c>
      <c r="E120" s="22" t="n">
        <v>20.88</v>
      </c>
      <c r="F120" s="22" t="n">
        <v>31.41</v>
      </c>
      <c r="G120" s="23" t="n">
        <v>216</v>
      </c>
      <c r="H120" s="23" t="n">
        <v>60</v>
      </c>
      <c r="I120" s="23" t="n">
        <f aca="false">G120-H120</f>
        <v>156</v>
      </c>
      <c r="J120" s="21" t="str">
        <f aca="false">IF(I120&lt;50,"LOW-IN-STOCK","IN-STOCK")</f>
        <v>IN-STOCK</v>
      </c>
      <c r="K120" s="22" t="n">
        <f aca="false">E120*G120</f>
        <v>4510.08</v>
      </c>
      <c r="L120" s="22" t="n">
        <f aca="false">F120*H120</f>
        <v>1884.6</v>
      </c>
      <c r="M120" s="22" t="n">
        <f aca="false">L120-K120</f>
        <v>-2625.48</v>
      </c>
    </row>
    <row r="121" customFormat="false" ht="15" hidden="false" customHeight="false" outlineLevel="0" collapsed="false">
      <c r="A121" s="21" t="s">
        <v>273</v>
      </c>
      <c r="B121" s="21" t="s">
        <v>232</v>
      </c>
      <c r="C121" s="21" t="s">
        <v>79</v>
      </c>
      <c r="D121" s="21" t="s">
        <v>88</v>
      </c>
      <c r="E121" s="22" t="n">
        <v>19.29</v>
      </c>
      <c r="F121" s="22" t="n">
        <v>28.17</v>
      </c>
      <c r="G121" s="23" t="n">
        <v>126</v>
      </c>
      <c r="H121" s="23" t="n">
        <v>36</v>
      </c>
      <c r="I121" s="23" t="n">
        <f aca="false">G121-H121</f>
        <v>90</v>
      </c>
      <c r="J121" s="21" t="str">
        <f aca="false">IF(I121&lt;50,"LOW-IN-STOCK","IN-STOCK")</f>
        <v>IN-STOCK</v>
      </c>
      <c r="K121" s="22" t="n">
        <f aca="false">E121*G121</f>
        <v>2430.54</v>
      </c>
      <c r="L121" s="22" t="n">
        <f aca="false">F121*H121</f>
        <v>1014.12</v>
      </c>
      <c r="M121" s="22" t="n">
        <f aca="false">L121-K121</f>
        <v>-1416.42</v>
      </c>
    </row>
    <row r="122" customFormat="false" ht="15" hidden="false" customHeight="false" outlineLevel="0" collapsed="false">
      <c r="A122" s="21" t="s">
        <v>274</v>
      </c>
      <c r="B122" s="21" t="s">
        <v>204</v>
      </c>
      <c r="C122" s="21" t="s">
        <v>148</v>
      </c>
      <c r="D122" s="21" t="s">
        <v>99</v>
      </c>
      <c r="E122" s="22" t="n">
        <v>67.6</v>
      </c>
      <c r="F122" s="22" t="n">
        <v>133.03</v>
      </c>
      <c r="G122" s="23" t="n">
        <v>412</v>
      </c>
      <c r="H122" s="23" t="n">
        <v>199</v>
      </c>
      <c r="I122" s="23" t="n">
        <f aca="false">G122-H122</f>
        <v>213</v>
      </c>
      <c r="J122" s="21" t="str">
        <f aca="false">IF(I122&lt;50,"LOW-IN-STOCK","IN-STOCK")</f>
        <v>IN-STOCK</v>
      </c>
      <c r="K122" s="22" t="n">
        <f aca="false">E122*G122</f>
        <v>27851.2</v>
      </c>
      <c r="L122" s="22" t="n">
        <f aca="false">F122*H122</f>
        <v>26472.97</v>
      </c>
      <c r="M122" s="22" t="n">
        <f aca="false">L122-K122</f>
        <v>-1378.23</v>
      </c>
    </row>
    <row r="123" customFormat="false" ht="15" hidden="false" customHeight="false" outlineLevel="0" collapsed="false">
      <c r="A123" s="21" t="s">
        <v>275</v>
      </c>
      <c r="B123" s="21" t="s">
        <v>276</v>
      </c>
      <c r="C123" s="21" t="s">
        <v>83</v>
      </c>
      <c r="D123" s="21" t="s">
        <v>137</v>
      </c>
      <c r="E123" s="22" t="n">
        <v>7.58</v>
      </c>
      <c r="F123" s="22" t="n">
        <v>11.72</v>
      </c>
      <c r="G123" s="23" t="n">
        <v>423</v>
      </c>
      <c r="H123" s="23" t="n">
        <v>177</v>
      </c>
      <c r="I123" s="23" t="n">
        <f aca="false">G123-H123</f>
        <v>246</v>
      </c>
      <c r="J123" s="21" t="str">
        <f aca="false">IF(I123&lt;50,"LOW-IN-STOCK","IN-STOCK")</f>
        <v>IN-STOCK</v>
      </c>
      <c r="K123" s="22" t="n">
        <f aca="false">E123*G123</f>
        <v>3206.34</v>
      </c>
      <c r="L123" s="22" t="n">
        <f aca="false">F123*H123</f>
        <v>2074.44</v>
      </c>
      <c r="M123" s="22" t="n">
        <f aca="false">L123-K123</f>
        <v>-1131.9</v>
      </c>
    </row>
    <row r="124" customFormat="false" ht="15" hidden="false" customHeight="false" outlineLevel="0" collapsed="false">
      <c r="A124" s="21" t="s">
        <v>277</v>
      </c>
      <c r="B124" s="21" t="s">
        <v>132</v>
      </c>
      <c r="C124" s="21" t="s">
        <v>87</v>
      </c>
      <c r="D124" s="21" t="s">
        <v>137</v>
      </c>
      <c r="E124" s="22" t="n">
        <v>18.64</v>
      </c>
      <c r="F124" s="22" t="n">
        <v>25.42</v>
      </c>
      <c r="G124" s="23" t="n">
        <v>362</v>
      </c>
      <c r="H124" s="23" t="n">
        <v>232</v>
      </c>
      <c r="I124" s="23" t="n">
        <f aca="false">G124-H124</f>
        <v>130</v>
      </c>
      <c r="J124" s="21" t="str">
        <f aca="false">IF(I124&lt;50,"LOW-IN-STOCK","IN-STOCK")</f>
        <v>IN-STOCK</v>
      </c>
      <c r="K124" s="22" t="n">
        <f aca="false">E124*G124</f>
        <v>6747.68</v>
      </c>
      <c r="L124" s="22" t="n">
        <f aca="false">F124*H124</f>
        <v>5897.44</v>
      </c>
      <c r="M124" s="22" t="n">
        <f aca="false">L124-K124</f>
        <v>-850.24</v>
      </c>
    </row>
    <row r="125" customFormat="false" ht="15" hidden="false" customHeight="false" outlineLevel="0" collapsed="false">
      <c r="A125" s="21" t="s">
        <v>278</v>
      </c>
      <c r="B125" s="21" t="s">
        <v>186</v>
      </c>
      <c r="C125" s="21" t="s">
        <v>83</v>
      </c>
      <c r="D125" s="21" t="s">
        <v>160</v>
      </c>
      <c r="E125" s="22" t="n">
        <v>8.82</v>
      </c>
      <c r="F125" s="22" t="n">
        <v>16.82</v>
      </c>
      <c r="G125" s="23" t="n">
        <v>216</v>
      </c>
      <c r="H125" s="23" t="n">
        <v>65</v>
      </c>
      <c r="I125" s="23" t="n">
        <f aca="false">G125-H125</f>
        <v>151</v>
      </c>
      <c r="J125" s="21" t="str">
        <f aca="false">IF(I125&lt;50,"LOW-IN-STOCK","IN-STOCK")</f>
        <v>IN-STOCK</v>
      </c>
      <c r="K125" s="22" t="n">
        <f aca="false">E125*G125</f>
        <v>1905.12</v>
      </c>
      <c r="L125" s="22" t="n">
        <f aca="false">F125*H125</f>
        <v>1093.3</v>
      </c>
      <c r="M125" s="22" t="n">
        <f aca="false">L125-K125</f>
        <v>-811.82</v>
      </c>
    </row>
    <row r="126" customFormat="false" ht="15" hidden="false" customHeight="false" outlineLevel="0" collapsed="false">
      <c r="A126" s="21" t="s">
        <v>279</v>
      </c>
      <c r="B126" s="21" t="s">
        <v>280</v>
      </c>
      <c r="C126" s="21" t="s">
        <v>83</v>
      </c>
      <c r="D126" s="21" t="s">
        <v>88</v>
      </c>
      <c r="E126" s="22" t="n">
        <v>20.14</v>
      </c>
      <c r="F126" s="22" t="n">
        <v>34.55</v>
      </c>
      <c r="G126" s="23" t="n">
        <v>169</v>
      </c>
      <c r="H126" s="23" t="n">
        <v>88</v>
      </c>
      <c r="I126" s="23" t="n">
        <f aca="false">G126-H126</f>
        <v>81</v>
      </c>
      <c r="J126" s="21" t="str">
        <f aca="false">IF(I126&lt;50,"LOW-IN-STOCK","IN-STOCK")</f>
        <v>IN-STOCK</v>
      </c>
      <c r="K126" s="22" t="n">
        <f aca="false">E126*G126</f>
        <v>3403.66</v>
      </c>
      <c r="L126" s="22" t="n">
        <f aca="false">F126*H126</f>
        <v>3040.4</v>
      </c>
      <c r="M126" s="22" t="n">
        <f aca="false">L126-K126</f>
        <v>-363.260000000001</v>
      </c>
    </row>
    <row r="127" customFormat="false" ht="15" hidden="false" customHeight="false" outlineLevel="0" collapsed="false">
      <c r="A127" s="21" t="s">
        <v>281</v>
      </c>
      <c r="B127" s="21" t="s">
        <v>282</v>
      </c>
      <c r="C127" s="21" t="s">
        <v>79</v>
      </c>
      <c r="D127" s="21" t="s">
        <v>99</v>
      </c>
      <c r="E127" s="22" t="n">
        <v>17.82</v>
      </c>
      <c r="F127" s="22" t="n">
        <v>32.3</v>
      </c>
      <c r="G127" s="23" t="n">
        <v>74</v>
      </c>
      <c r="H127" s="23" t="n">
        <v>63</v>
      </c>
      <c r="I127" s="23" t="n">
        <f aca="false">G127-H127</f>
        <v>11</v>
      </c>
      <c r="J127" s="21" t="str">
        <f aca="false">IF(I127&lt;50,"LOW-IN-STOCK","IN-STOCK")</f>
        <v>LOW-IN-STOCK</v>
      </c>
      <c r="K127" s="22" t="n">
        <f aca="false">E127*G127</f>
        <v>1318.68</v>
      </c>
      <c r="L127" s="22" t="n">
        <f aca="false">F127*H127</f>
        <v>2034.9</v>
      </c>
      <c r="M127" s="22" t="n">
        <f aca="false">L127-K127</f>
        <v>716.22</v>
      </c>
    </row>
    <row r="128" customFormat="false" ht="15" hidden="false" customHeight="false" outlineLevel="0" collapsed="false">
      <c r="A128" s="21" t="s">
        <v>283</v>
      </c>
      <c r="B128" s="21" t="s">
        <v>152</v>
      </c>
      <c r="C128" s="21" t="s">
        <v>87</v>
      </c>
      <c r="D128" s="21" t="s">
        <v>88</v>
      </c>
      <c r="E128" s="22" t="n">
        <v>10.9</v>
      </c>
      <c r="F128" s="22" t="n">
        <v>15.35</v>
      </c>
      <c r="G128" s="23" t="n">
        <v>398</v>
      </c>
      <c r="H128" s="23" t="n">
        <v>264</v>
      </c>
      <c r="I128" s="23" t="n">
        <f aca="false">G128-H128</f>
        <v>134</v>
      </c>
      <c r="J128" s="21" t="str">
        <f aca="false">IF(I128&lt;50,"LOW-IN-STOCK","IN-STOCK")</f>
        <v>IN-STOCK</v>
      </c>
      <c r="K128" s="22" t="n">
        <f aca="false">E128*G128</f>
        <v>4338.2</v>
      </c>
      <c r="L128" s="22" t="n">
        <f aca="false">F128*H128</f>
        <v>4052.4</v>
      </c>
      <c r="M128" s="22" t="n">
        <f aca="false">L128-K128</f>
        <v>-285.8</v>
      </c>
    </row>
    <row r="129" customFormat="false" ht="15" hidden="false" customHeight="false" outlineLevel="0" collapsed="false">
      <c r="A129" s="21" t="s">
        <v>284</v>
      </c>
      <c r="B129" s="21" t="s">
        <v>276</v>
      </c>
      <c r="C129" s="21" t="s">
        <v>83</v>
      </c>
      <c r="D129" s="21" t="s">
        <v>137</v>
      </c>
      <c r="E129" s="22" t="n">
        <v>18.48</v>
      </c>
      <c r="F129" s="22" t="n">
        <v>36.7</v>
      </c>
      <c r="G129" s="23" t="n">
        <v>320</v>
      </c>
      <c r="H129" s="23" t="n">
        <v>96</v>
      </c>
      <c r="I129" s="23" t="n">
        <f aca="false">G129-H129</f>
        <v>224</v>
      </c>
      <c r="J129" s="21" t="str">
        <f aca="false">IF(I129&lt;50,"LOW-IN-STOCK","IN-STOCK")</f>
        <v>IN-STOCK</v>
      </c>
      <c r="K129" s="22" t="n">
        <f aca="false">E129*G129</f>
        <v>5913.6</v>
      </c>
      <c r="L129" s="22" t="n">
        <f aca="false">F129*H129</f>
        <v>3523.2</v>
      </c>
      <c r="M129" s="22" t="n">
        <f aca="false">L129-K129</f>
        <v>-2390.4</v>
      </c>
    </row>
    <row r="130" customFormat="false" ht="15" hidden="false" customHeight="false" outlineLevel="0" collapsed="false">
      <c r="A130" s="21" t="s">
        <v>285</v>
      </c>
      <c r="B130" s="21" t="s">
        <v>191</v>
      </c>
      <c r="C130" s="21" t="s">
        <v>148</v>
      </c>
      <c r="D130" s="21" t="s">
        <v>88</v>
      </c>
      <c r="E130" s="22" t="n">
        <v>11.36</v>
      </c>
      <c r="F130" s="22" t="n">
        <v>20.12</v>
      </c>
      <c r="G130" s="23" t="n">
        <v>177</v>
      </c>
      <c r="H130" s="23" t="n">
        <v>90</v>
      </c>
      <c r="I130" s="23" t="n">
        <f aca="false">G130-H130</f>
        <v>87</v>
      </c>
      <c r="J130" s="21" t="str">
        <f aca="false">IF(I130&lt;50,"LOW-IN-STOCK","IN-STOCK")</f>
        <v>IN-STOCK</v>
      </c>
      <c r="K130" s="22" t="n">
        <f aca="false">E130*G130</f>
        <v>2010.72</v>
      </c>
      <c r="L130" s="22" t="n">
        <f aca="false">F130*H130</f>
        <v>1810.8</v>
      </c>
      <c r="M130" s="22" t="n">
        <f aca="false">L130-K130</f>
        <v>-199.92</v>
      </c>
    </row>
    <row r="131" customFormat="false" ht="15" hidden="false" customHeight="false" outlineLevel="0" collapsed="false">
      <c r="A131" s="21" t="s">
        <v>286</v>
      </c>
      <c r="B131" s="21" t="s">
        <v>287</v>
      </c>
      <c r="C131" s="21" t="s">
        <v>87</v>
      </c>
      <c r="D131" s="21" t="s">
        <v>137</v>
      </c>
      <c r="E131" s="22" t="n">
        <v>6.67</v>
      </c>
      <c r="F131" s="22" t="n">
        <v>14.55</v>
      </c>
      <c r="G131" s="23" t="n">
        <v>100</v>
      </c>
      <c r="H131" s="23" t="n">
        <v>75</v>
      </c>
      <c r="I131" s="23" t="n">
        <f aca="false">G131-H131</f>
        <v>25</v>
      </c>
      <c r="J131" s="21" t="str">
        <f aca="false">IF(I131&lt;50,"LOW-IN-STOCK","IN-STOCK")</f>
        <v>LOW-IN-STOCK</v>
      </c>
      <c r="K131" s="22" t="n">
        <f aca="false">E131*G131</f>
        <v>667</v>
      </c>
      <c r="L131" s="22" t="n">
        <f aca="false">F131*H131</f>
        <v>1091.25</v>
      </c>
      <c r="M131" s="22" t="n">
        <f aca="false">L131-K131</f>
        <v>424.25</v>
      </c>
    </row>
    <row r="132" customFormat="false" ht="15" hidden="false" customHeight="false" outlineLevel="0" collapsed="false">
      <c r="A132" s="21" t="s">
        <v>288</v>
      </c>
      <c r="B132" s="21" t="s">
        <v>289</v>
      </c>
      <c r="C132" s="21" t="s">
        <v>148</v>
      </c>
      <c r="D132" s="21" t="s">
        <v>137</v>
      </c>
      <c r="E132" s="22" t="n">
        <v>36.25</v>
      </c>
      <c r="F132" s="22" t="n">
        <v>70.98</v>
      </c>
      <c r="G132" s="23" t="n">
        <v>116</v>
      </c>
      <c r="H132" s="23" t="n">
        <v>94</v>
      </c>
      <c r="I132" s="23" t="n">
        <f aca="false">G132-H132</f>
        <v>22</v>
      </c>
      <c r="J132" s="21" t="str">
        <f aca="false">IF(I132&lt;50,"LOW-IN-STOCK","IN-STOCK")</f>
        <v>LOW-IN-STOCK</v>
      </c>
      <c r="K132" s="22" t="n">
        <f aca="false">E132*G132</f>
        <v>4205</v>
      </c>
      <c r="L132" s="22" t="n">
        <f aca="false">F132*H132</f>
        <v>6672.12</v>
      </c>
      <c r="M132" s="22" t="n">
        <f aca="false">L132-K132</f>
        <v>2467.12</v>
      </c>
    </row>
    <row r="133" customFormat="false" ht="15" hidden="false" customHeight="false" outlineLevel="0" collapsed="false">
      <c r="A133" s="21" t="s">
        <v>290</v>
      </c>
      <c r="B133" s="21" t="s">
        <v>262</v>
      </c>
      <c r="C133" s="21" t="s">
        <v>75</v>
      </c>
      <c r="D133" s="21" t="s">
        <v>160</v>
      </c>
      <c r="E133" s="22" t="n">
        <v>24.12</v>
      </c>
      <c r="F133" s="22" t="n">
        <v>35.53</v>
      </c>
      <c r="G133" s="23" t="n">
        <v>292</v>
      </c>
      <c r="H133" s="23" t="n">
        <v>142</v>
      </c>
      <c r="I133" s="23" t="n">
        <f aca="false">G133-H133</f>
        <v>150</v>
      </c>
      <c r="J133" s="21" t="str">
        <f aca="false">IF(I133&lt;50,"LOW-IN-STOCK","IN-STOCK")</f>
        <v>IN-STOCK</v>
      </c>
      <c r="K133" s="22" t="n">
        <f aca="false">E133*G133</f>
        <v>7043.04</v>
      </c>
      <c r="L133" s="22" t="n">
        <f aca="false">F133*H133</f>
        <v>5045.26</v>
      </c>
      <c r="M133" s="22" t="n">
        <f aca="false">L133-K133</f>
        <v>-1997.78</v>
      </c>
    </row>
    <row r="134" customFormat="false" ht="15" hidden="false" customHeight="false" outlineLevel="0" collapsed="false">
      <c r="A134" s="21" t="s">
        <v>291</v>
      </c>
      <c r="B134" s="21" t="s">
        <v>166</v>
      </c>
      <c r="C134" s="21" t="s">
        <v>93</v>
      </c>
      <c r="D134" s="21" t="s">
        <v>102</v>
      </c>
      <c r="E134" s="22" t="n">
        <v>3.65</v>
      </c>
      <c r="F134" s="22" t="n">
        <v>7.04</v>
      </c>
      <c r="G134" s="23" t="n">
        <v>411</v>
      </c>
      <c r="H134" s="23" t="n">
        <v>370</v>
      </c>
      <c r="I134" s="23" t="n">
        <f aca="false">G134-H134</f>
        <v>41</v>
      </c>
      <c r="J134" s="21" t="str">
        <f aca="false">IF(I134&lt;50,"LOW-IN-STOCK","IN-STOCK")</f>
        <v>LOW-IN-STOCK</v>
      </c>
      <c r="K134" s="22" t="n">
        <f aca="false">E134*G134</f>
        <v>1500.15</v>
      </c>
      <c r="L134" s="22" t="n">
        <f aca="false">F134*H134</f>
        <v>2604.8</v>
      </c>
      <c r="M134" s="22" t="n">
        <f aca="false">L134-K134</f>
        <v>1104.65</v>
      </c>
    </row>
    <row r="135" customFormat="false" ht="15" hidden="false" customHeight="false" outlineLevel="0" collapsed="false">
      <c r="A135" s="21" t="s">
        <v>292</v>
      </c>
      <c r="B135" s="21" t="s">
        <v>213</v>
      </c>
      <c r="C135" s="21" t="s">
        <v>87</v>
      </c>
      <c r="D135" s="21" t="s">
        <v>160</v>
      </c>
      <c r="E135" s="22" t="n">
        <v>17.36</v>
      </c>
      <c r="F135" s="22" t="n">
        <v>36.92</v>
      </c>
      <c r="G135" s="23" t="n">
        <v>178</v>
      </c>
      <c r="H135" s="23" t="n">
        <v>88</v>
      </c>
      <c r="I135" s="23" t="n">
        <f aca="false">G135-H135</f>
        <v>90</v>
      </c>
      <c r="J135" s="21" t="str">
        <f aca="false">IF(I135&lt;50,"LOW-IN-STOCK","IN-STOCK")</f>
        <v>IN-STOCK</v>
      </c>
      <c r="K135" s="22" t="n">
        <f aca="false">E135*G135</f>
        <v>3090.08</v>
      </c>
      <c r="L135" s="22" t="n">
        <f aca="false">F135*H135</f>
        <v>3248.96</v>
      </c>
      <c r="M135" s="22" t="n">
        <f aca="false">L135-K135</f>
        <v>158.88</v>
      </c>
    </row>
    <row r="136" customFormat="false" ht="15" hidden="false" customHeight="false" outlineLevel="0" collapsed="false">
      <c r="A136" s="21" t="s">
        <v>293</v>
      </c>
      <c r="B136" s="21" t="s">
        <v>122</v>
      </c>
      <c r="C136" s="21" t="s">
        <v>75</v>
      </c>
      <c r="D136" s="21" t="s">
        <v>160</v>
      </c>
      <c r="E136" s="22" t="n">
        <v>13.11</v>
      </c>
      <c r="F136" s="22" t="n">
        <v>23.98</v>
      </c>
      <c r="G136" s="23" t="n">
        <v>397</v>
      </c>
      <c r="H136" s="23" t="n">
        <v>96</v>
      </c>
      <c r="I136" s="23" t="n">
        <f aca="false">G136-H136</f>
        <v>301</v>
      </c>
      <c r="J136" s="21" t="str">
        <f aca="false">IF(I136&lt;50,"LOW-IN-STOCK","IN-STOCK")</f>
        <v>IN-STOCK</v>
      </c>
      <c r="K136" s="22" t="n">
        <f aca="false">E136*G136</f>
        <v>5204.67</v>
      </c>
      <c r="L136" s="22" t="n">
        <f aca="false">F136*H136</f>
        <v>2302.08</v>
      </c>
      <c r="M136" s="22" t="n">
        <f aca="false">L136-K136</f>
        <v>-2902.59</v>
      </c>
    </row>
    <row r="137" customFormat="false" ht="15" hidden="false" customHeight="false" outlineLevel="0" collapsed="false">
      <c r="A137" s="21" t="s">
        <v>294</v>
      </c>
      <c r="B137" s="21" t="s">
        <v>139</v>
      </c>
      <c r="C137" s="21" t="s">
        <v>75</v>
      </c>
      <c r="D137" s="21" t="s">
        <v>80</v>
      </c>
      <c r="E137" s="22" t="n">
        <v>9.62</v>
      </c>
      <c r="F137" s="22" t="n">
        <v>17.21</v>
      </c>
      <c r="G137" s="23" t="n">
        <v>353</v>
      </c>
      <c r="H137" s="23" t="n">
        <v>56</v>
      </c>
      <c r="I137" s="23" t="n">
        <f aca="false">G137-H137</f>
        <v>297</v>
      </c>
      <c r="J137" s="21" t="str">
        <f aca="false">IF(I137&lt;50,"LOW-IN-STOCK","IN-STOCK")</f>
        <v>IN-STOCK</v>
      </c>
      <c r="K137" s="22" t="n">
        <f aca="false">E137*G137</f>
        <v>3395.86</v>
      </c>
      <c r="L137" s="22" t="n">
        <f aca="false">F137*H137</f>
        <v>963.76</v>
      </c>
      <c r="M137" s="22" t="n">
        <f aca="false">L137-K137</f>
        <v>-2432.1</v>
      </c>
    </row>
    <row r="138" customFormat="false" ht="15" hidden="false" customHeight="false" outlineLevel="0" collapsed="false">
      <c r="A138" s="21" t="s">
        <v>295</v>
      </c>
      <c r="B138" s="21" t="s">
        <v>289</v>
      </c>
      <c r="C138" s="21" t="s">
        <v>148</v>
      </c>
      <c r="D138" s="21" t="s">
        <v>80</v>
      </c>
      <c r="E138" s="22" t="n">
        <v>26.24</v>
      </c>
      <c r="F138" s="22" t="n">
        <v>36.09</v>
      </c>
      <c r="G138" s="23" t="n">
        <v>495</v>
      </c>
      <c r="H138" s="23" t="n">
        <v>407</v>
      </c>
      <c r="I138" s="23" t="n">
        <f aca="false">G138-H138</f>
        <v>88</v>
      </c>
      <c r="J138" s="21" t="str">
        <f aca="false">IF(I138&lt;50,"LOW-IN-STOCK","IN-STOCK")</f>
        <v>IN-STOCK</v>
      </c>
      <c r="K138" s="22" t="n">
        <f aca="false">E138*G138</f>
        <v>12988.8</v>
      </c>
      <c r="L138" s="22" t="n">
        <f aca="false">F138*H138</f>
        <v>14688.63</v>
      </c>
      <c r="M138" s="22" t="n">
        <f aca="false">L138-K138</f>
        <v>1699.83</v>
      </c>
    </row>
    <row r="139" customFormat="false" ht="15" hidden="false" customHeight="false" outlineLevel="0" collapsed="false">
      <c r="A139" s="21" t="s">
        <v>296</v>
      </c>
      <c r="B139" s="21" t="s">
        <v>297</v>
      </c>
      <c r="C139" s="21" t="s">
        <v>107</v>
      </c>
      <c r="D139" s="21" t="s">
        <v>99</v>
      </c>
      <c r="E139" s="22" t="n">
        <v>12.98</v>
      </c>
      <c r="F139" s="22" t="n">
        <v>24.22</v>
      </c>
      <c r="G139" s="23" t="n">
        <v>354</v>
      </c>
      <c r="H139" s="23" t="n">
        <v>150</v>
      </c>
      <c r="I139" s="23" t="n">
        <f aca="false">G139-H139</f>
        <v>204</v>
      </c>
      <c r="J139" s="21" t="str">
        <f aca="false">IF(I139&lt;50,"LOW-IN-STOCK","IN-STOCK")</f>
        <v>IN-STOCK</v>
      </c>
      <c r="K139" s="22" t="n">
        <f aca="false">E139*G139</f>
        <v>4594.92</v>
      </c>
      <c r="L139" s="22" t="n">
        <f aca="false">F139*H139</f>
        <v>3633</v>
      </c>
      <c r="M139" s="22" t="n">
        <f aca="false">L139-K139</f>
        <v>-961.92</v>
      </c>
    </row>
    <row r="140" customFormat="false" ht="15" hidden="false" customHeight="false" outlineLevel="0" collapsed="false">
      <c r="A140" s="21" t="s">
        <v>298</v>
      </c>
      <c r="B140" s="21" t="s">
        <v>195</v>
      </c>
      <c r="C140" s="21" t="s">
        <v>79</v>
      </c>
      <c r="D140" s="21" t="s">
        <v>76</v>
      </c>
      <c r="E140" s="22" t="n">
        <v>9.75</v>
      </c>
      <c r="F140" s="22" t="n">
        <v>18.84</v>
      </c>
      <c r="G140" s="23" t="n">
        <v>326</v>
      </c>
      <c r="H140" s="23" t="n">
        <v>62</v>
      </c>
      <c r="I140" s="23" t="n">
        <f aca="false">G140-H140</f>
        <v>264</v>
      </c>
      <c r="J140" s="21" t="str">
        <f aca="false">IF(I140&lt;50,"LOW-IN-STOCK","IN-STOCK")</f>
        <v>IN-STOCK</v>
      </c>
      <c r="K140" s="22" t="n">
        <f aca="false">E140*G140</f>
        <v>3178.5</v>
      </c>
      <c r="L140" s="22" t="n">
        <f aca="false">F140*H140</f>
        <v>1168.08</v>
      </c>
      <c r="M140" s="22" t="n">
        <f aca="false">L140-K140</f>
        <v>-2010.42</v>
      </c>
    </row>
    <row r="141" customFormat="false" ht="15" hidden="false" customHeight="false" outlineLevel="0" collapsed="false">
      <c r="A141" s="21" t="s">
        <v>299</v>
      </c>
      <c r="B141" s="21" t="s">
        <v>97</v>
      </c>
      <c r="C141" s="21" t="s">
        <v>83</v>
      </c>
      <c r="D141" s="21" t="s">
        <v>102</v>
      </c>
      <c r="E141" s="22" t="n">
        <v>2.82</v>
      </c>
      <c r="F141" s="22" t="n">
        <v>4.23</v>
      </c>
      <c r="G141" s="23" t="n">
        <v>131</v>
      </c>
      <c r="H141" s="23" t="n">
        <v>37</v>
      </c>
      <c r="I141" s="23" t="n">
        <f aca="false">G141-H141</f>
        <v>94</v>
      </c>
      <c r="J141" s="21" t="str">
        <f aca="false">IF(I141&lt;50,"LOW-IN-STOCK","IN-STOCK")</f>
        <v>IN-STOCK</v>
      </c>
      <c r="K141" s="22" t="n">
        <f aca="false">E141*G141</f>
        <v>369.42</v>
      </c>
      <c r="L141" s="22" t="n">
        <f aca="false">F141*H141</f>
        <v>156.51</v>
      </c>
      <c r="M141" s="22" t="n">
        <f aca="false">L141-K141</f>
        <v>-212.91</v>
      </c>
    </row>
    <row r="142" customFormat="false" ht="15" hidden="false" customHeight="false" outlineLevel="0" collapsed="false">
      <c r="A142" s="21" t="s">
        <v>300</v>
      </c>
      <c r="B142" s="21" t="s">
        <v>282</v>
      </c>
      <c r="C142" s="21" t="s">
        <v>79</v>
      </c>
      <c r="D142" s="21" t="s">
        <v>99</v>
      </c>
      <c r="E142" s="22" t="n">
        <v>1.79</v>
      </c>
      <c r="F142" s="22" t="n">
        <v>2.5</v>
      </c>
      <c r="G142" s="23" t="n">
        <v>178</v>
      </c>
      <c r="H142" s="23" t="n">
        <v>115</v>
      </c>
      <c r="I142" s="23" t="n">
        <f aca="false">G142-H142</f>
        <v>63</v>
      </c>
      <c r="J142" s="21" t="str">
        <f aca="false">IF(I142&lt;50,"LOW-IN-STOCK","IN-STOCK")</f>
        <v>IN-STOCK</v>
      </c>
      <c r="K142" s="22" t="n">
        <f aca="false">E142*G142</f>
        <v>318.62</v>
      </c>
      <c r="L142" s="22" t="n">
        <f aca="false">F142*H142</f>
        <v>287.5</v>
      </c>
      <c r="M142" s="22" t="n">
        <f aca="false">L142-K142</f>
        <v>-31.12</v>
      </c>
    </row>
    <row r="143" customFormat="false" ht="15" hidden="false" customHeight="false" outlineLevel="0" collapsed="false">
      <c r="A143" s="21" t="s">
        <v>301</v>
      </c>
      <c r="B143" s="21" t="s">
        <v>267</v>
      </c>
      <c r="C143" s="21" t="s">
        <v>148</v>
      </c>
      <c r="D143" s="21" t="s">
        <v>114</v>
      </c>
      <c r="E143" s="22" t="n">
        <v>41.83</v>
      </c>
      <c r="F143" s="22" t="n">
        <v>61.16</v>
      </c>
      <c r="G143" s="23" t="n">
        <v>80</v>
      </c>
      <c r="H143" s="23" t="n">
        <v>67</v>
      </c>
      <c r="I143" s="23" t="n">
        <f aca="false">G143-H143</f>
        <v>13</v>
      </c>
      <c r="J143" s="21" t="str">
        <f aca="false">IF(I143&lt;50,"LOW-IN-STOCK","IN-STOCK")</f>
        <v>LOW-IN-STOCK</v>
      </c>
      <c r="K143" s="22" t="n">
        <f aca="false">E143*G143</f>
        <v>3346.4</v>
      </c>
      <c r="L143" s="22" t="n">
        <f aca="false">F143*H143</f>
        <v>4097.72</v>
      </c>
      <c r="M143" s="22" t="n">
        <f aca="false">L143-K143</f>
        <v>751.32</v>
      </c>
    </row>
    <row r="144" customFormat="false" ht="15" hidden="false" customHeight="false" outlineLevel="0" collapsed="false">
      <c r="A144" s="21" t="s">
        <v>302</v>
      </c>
      <c r="B144" s="21" t="s">
        <v>211</v>
      </c>
      <c r="C144" s="21" t="s">
        <v>113</v>
      </c>
      <c r="D144" s="21" t="s">
        <v>88</v>
      </c>
      <c r="E144" s="22" t="n">
        <v>17.71</v>
      </c>
      <c r="F144" s="22" t="n">
        <v>29.65</v>
      </c>
      <c r="G144" s="23" t="n">
        <v>78</v>
      </c>
      <c r="H144" s="23" t="n">
        <v>45</v>
      </c>
      <c r="I144" s="23" t="n">
        <f aca="false">G144-H144</f>
        <v>33</v>
      </c>
      <c r="J144" s="21" t="str">
        <f aca="false">IF(I144&lt;50,"LOW-IN-STOCK","IN-STOCK")</f>
        <v>LOW-IN-STOCK</v>
      </c>
      <c r="K144" s="22" t="n">
        <f aca="false">E144*G144</f>
        <v>1381.38</v>
      </c>
      <c r="L144" s="22" t="n">
        <f aca="false">F144*H144</f>
        <v>1334.25</v>
      </c>
      <c r="M144" s="22" t="n">
        <f aca="false">L144-K144</f>
        <v>-47.1300000000001</v>
      </c>
    </row>
    <row r="145" customFormat="false" ht="15" hidden="false" customHeight="false" outlineLevel="0" collapsed="false">
      <c r="A145" s="21" t="s">
        <v>303</v>
      </c>
      <c r="B145" s="21" t="s">
        <v>289</v>
      </c>
      <c r="C145" s="21" t="s">
        <v>148</v>
      </c>
      <c r="D145" s="21" t="s">
        <v>137</v>
      </c>
      <c r="E145" s="22" t="n">
        <v>21.73</v>
      </c>
      <c r="F145" s="22" t="n">
        <v>37.36</v>
      </c>
      <c r="G145" s="23" t="n">
        <v>104</v>
      </c>
      <c r="H145" s="23" t="n">
        <v>97</v>
      </c>
      <c r="I145" s="23" t="n">
        <f aca="false">G145-H145</f>
        <v>7</v>
      </c>
      <c r="J145" s="21" t="str">
        <f aca="false">IF(I145&lt;50,"LOW-IN-STOCK","IN-STOCK")</f>
        <v>LOW-IN-STOCK</v>
      </c>
      <c r="K145" s="22" t="n">
        <f aca="false">E145*G145</f>
        <v>2259.92</v>
      </c>
      <c r="L145" s="22" t="n">
        <f aca="false">F145*H145</f>
        <v>3623.92</v>
      </c>
      <c r="M145" s="22" t="n">
        <f aca="false">L145-K145</f>
        <v>1364</v>
      </c>
    </row>
    <row r="146" customFormat="false" ht="15" hidden="false" customHeight="false" outlineLevel="0" collapsed="false">
      <c r="A146" s="21" t="s">
        <v>304</v>
      </c>
      <c r="B146" s="21" t="s">
        <v>195</v>
      </c>
      <c r="C146" s="21" t="s">
        <v>79</v>
      </c>
      <c r="D146" s="21" t="s">
        <v>114</v>
      </c>
      <c r="E146" s="22" t="n">
        <v>17.14</v>
      </c>
      <c r="F146" s="22" t="n">
        <v>30.32</v>
      </c>
      <c r="G146" s="23" t="n">
        <v>300</v>
      </c>
      <c r="H146" s="23" t="n">
        <v>85</v>
      </c>
      <c r="I146" s="23" t="n">
        <f aca="false">G146-H146</f>
        <v>215</v>
      </c>
      <c r="J146" s="21" t="str">
        <f aca="false">IF(I146&lt;50,"LOW-IN-STOCK","IN-STOCK")</f>
        <v>IN-STOCK</v>
      </c>
      <c r="K146" s="22" t="n">
        <f aca="false">E146*G146</f>
        <v>5142</v>
      </c>
      <c r="L146" s="22" t="n">
        <f aca="false">F146*H146</f>
        <v>2577.2</v>
      </c>
      <c r="M146" s="22" t="n">
        <f aca="false">L146-K146</f>
        <v>-2564.8</v>
      </c>
    </row>
    <row r="147" customFormat="false" ht="15" hidden="false" customHeight="false" outlineLevel="0" collapsed="false">
      <c r="A147" s="21" t="s">
        <v>305</v>
      </c>
      <c r="B147" s="21" t="s">
        <v>306</v>
      </c>
      <c r="C147" s="21" t="s">
        <v>93</v>
      </c>
      <c r="D147" s="21" t="s">
        <v>137</v>
      </c>
      <c r="E147" s="22" t="n">
        <v>6.06</v>
      </c>
      <c r="F147" s="22" t="n">
        <v>10.46</v>
      </c>
      <c r="G147" s="23" t="n">
        <v>136</v>
      </c>
      <c r="H147" s="23" t="n">
        <v>45</v>
      </c>
      <c r="I147" s="23" t="n">
        <f aca="false">G147-H147</f>
        <v>91</v>
      </c>
      <c r="J147" s="21" t="str">
        <f aca="false">IF(I147&lt;50,"LOW-IN-STOCK","IN-STOCK")</f>
        <v>IN-STOCK</v>
      </c>
      <c r="K147" s="22" t="n">
        <f aca="false">E147*G147</f>
        <v>824.16</v>
      </c>
      <c r="L147" s="22" t="n">
        <f aca="false">F147*H147</f>
        <v>470.7</v>
      </c>
      <c r="M147" s="22" t="n">
        <f aca="false">L147-K147</f>
        <v>-353.46</v>
      </c>
    </row>
    <row r="148" customFormat="false" ht="15" hidden="false" customHeight="false" outlineLevel="0" collapsed="false">
      <c r="A148" s="21" t="s">
        <v>307</v>
      </c>
      <c r="B148" s="21" t="s">
        <v>308</v>
      </c>
      <c r="C148" s="21" t="s">
        <v>87</v>
      </c>
      <c r="D148" s="21" t="s">
        <v>114</v>
      </c>
      <c r="E148" s="22" t="n">
        <v>20.45</v>
      </c>
      <c r="F148" s="22" t="n">
        <v>33.87</v>
      </c>
      <c r="G148" s="23" t="n">
        <v>436</v>
      </c>
      <c r="H148" s="23" t="n">
        <v>388</v>
      </c>
      <c r="I148" s="23" t="n">
        <f aca="false">G148-H148</f>
        <v>48</v>
      </c>
      <c r="J148" s="21" t="str">
        <f aca="false">IF(I148&lt;50,"LOW-IN-STOCK","IN-STOCK")</f>
        <v>LOW-IN-STOCK</v>
      </c>
      <c r="K148" s="22" t="n">
        <f aca="false">E148*G148</f>
        <v>8916.2</v>
      </c>
      <c r="L148" s="22" t="n">
        <f aca="false">F148*H148</f>
        <v>13141.56</v>
      </c>
      <c r="M148" s="22" t="n">
        <f aca="false">L148-K148</f>
        <v>4225.36</v>
      </c>
    </row>
    <row r="149" customFormat="false" ht="15" hidden="false" customHeight="false" outlineLevel="0" collapsed="false">
      <c r="A149" s="21" t="s">
        <v>309</v>
      </c>
      <c r="B149" s="21" t="s">
        <v>157</v>
      </c>
      <c r="C149" s="21" t="s">
        <v>113</v>
      </c>
      <c r="D149" s="21" t="s">
        <v>99</v>
      </c>
      <c r="E149" s="22" t="n">
        <v>33.67</v>
      </c>
      <c r="F149" s="22" t="n">
        <v>53.9</v>
      </c>
      <c r="G149" s="23" t="n">
        <v>155</v>
      </c>
      <c r="H149" s="23" t="n">
        <v>70</v>
      </c>
      <c r="I149" s="23" t="n">
        <f aca="false">G149-H149</f>
        <v>85</v>
      </c>
      <c r="J149" s="21" t="str">
        <f aca="false">IF(I149&lt;50,"LOW-IN-STOCK","IN-STOCK")</f>
        <v>IN-STOCK</v>
      </c>
      <c r="K149" s="22" t="n">
        <f aca="false">E149*G149</f>
        <v>5218.85</v>
      </c>
      <c r="L149" s="22" t="n">
        <f aca="false">F149*H149</f>
        <v>3773</v>
      </c>
      <c r="M149" s="22" t="n">
        <f aca="false">L149-K149</f>
        <v>-1445.85</v>
      </c>
    </row>
    <row r="150" customFormat="false" ht="15" hidden="false" customHeight="false" outlineLevel="0" collapsed="false">
      <c r="A150" s="21" t="s">
        <v>310</v>
      </c>
      <c r="B150" s="21" t="s">
        <v>311</v>
      </c>
      <c r="C150" s="21" t="s">
        <v>75</v>
      </c>
      <c r="D150" s="21" t="s">
        <v>88</v>
      </c>
      <c r="E150" s="22" t="n">
        <v>23.16</v>
      </c>
      <c r="F150" s="22" t="n">
        <v>38.65</v>
      </c>
      <c r="G150" s="23" t="n">
        <v>385</v>
      </c>
      <c r="H150" s="23" t="n">
        <v>334</v>
      </c>
      <c r="I150" s="23" t="n">
        <f aca="false">G150-H150</f>
        <v>51</v>
      </c>
      <c r="J150" s="21" t="str">
        <f aca="false">IF(I150&lt;50,"LOW-IN-STOCK","IN-STOCK")</f>
        <v>IN-STOCK</v>
      </c>
      <c r="K150" s="22" t="n">
        <f aca="false">E150*G150</f>
        <v>8916.6</v>
      </c>
      <c r="L150" s="22" t="n">
        <f aca="false">F150*H150</f>
        <v>12909.1</v>
      </c>
      <c r="M150" s="22" t="n">
        <f aca="false">L150-K150</f>
        <v>3992.5</v>
      </c>
    </row>
    <row r="151" customFormat="false" ht="15" hidden="false" customHeight="false" outlineLevel="0" collapsed="false">
      <c r="A151" s="21" t="s">
        <v>312</v>
      </c>
      <c r="B151" s="21" t="s">
        <v>97</v>
      </c>
      <c r="C151" s="21" t="s">
        <v>83</v>
      </c>
      <c r="D151" s="21" t="s">
        <v>80</v>
      </c>
      <c r="E151" s="22" t="n">
        <v>18.57</v>
      </c>
      <c r="F151" s="22" t="n">
        <v>28.05</v>
      </c>
      <c r="G151" s="23" t="n">
        <v>229</v>
      </c>
      <c r="H151" s="23" t="n">
        <v>184</v>
      </c>
      <c r="I151" s="23" t="n">
        <f aca="false">G151-H151</f>
        <v>45</v>
      </c>
      <c r="J151" s="21" t="str">
        <f aca="false">IF(I151&lt;50,"LOW-IN-STOCK","IN-STOCK")</f>
        <v>LOW-IN-STOCK</v>
      </c>
      <c r="K151" s="22" t="n">
        <f aca="false">E151*G151</f>
        <v>4252.53</v>
      </c>
      <c r="L151" s="22" t="n">
        <f aca="false">F151*H151</f>
        <v>5161.2</v>
      </c>
      <c r="M151" s="22" t="n">
        <f aca="false">L151-K151</f>
        <v>908.67</v>
      </c>
    </row>
    <row r="152" customFormat="false" ht="15" hidden="false" customHeight="false" outlineLevel="0" collapsed="false">
      <c r="A152" s="21" t="s">
        <v>313</v>
      </c>
      <c r="B152" s="21" t="s">
        <v>224</v>
      </c>
      <c r="C152" s="21" t="s">
        <v>79</v>
      </c>
      <c r="D152" s="21" t="s">
        <v>108</v>
      </c>
      <c r="E152" s="22" t="n">
        <v>13.19</v>
      </c>
      <c r="F152" s="22" t="n">
        <v>24.74</v>
      </c>
      <c r="G152" s="23" t="n">
        <v>388</v>
      </c>
      <c r="H152" s="23" t="n">
        <v>366</v>
      </c>
      <c r="I152" s="23" t="n">
        <f aca="false">G152-H152</f>
        <v>22</v>
      </c>
      <c r="J152" s="21" t="str">
        <f aca="false">IF(I152&lt;50,"LOW-IN-STOCK","IN-STOCK")</f>
        <v>LOW-IN-STOCK</v>
      </c>
      <c r="K152" s="22" t="n">
        <f aca="false">E152*G152</f>
        <v>5117.72</v>
      </c>
      <c r="L152" s="22" t="n">
        <f aca="false">F152*H152</f>
        <v>9054.84</v>
      </c>
      <c r="M152" s="22" t="n">
        <f aca="false">L152-K152</f>
        <v>3937.12</v>
      </c>
    </row>
    <row r="153" customFormat="false" ht="15" hidden="false" customHeight="false" outlineLevel="0" collapsed="false">
      <c r="A153" s="21" t="s">
        <v>314</v>
      </c>
      <c r="B153" s="21" t="s">
        <v>129</v>
      </c>
      <c r="C153" s="21" t="s">
        <v>83</v>
      </c>
      <c r="D153" s="21" t="s">
        <v>160</v>
      </c>
      <c r="E153" s="22" t="n">
        <v>13.99</v>
      </c>
      <c r="F153" s="22" t="n">
        <v>27.26</v>
      </c>
      <c r="G153" s="23" t="n">
        <v>56</v>
      </c>
      <c r="H153" s="23" t="n">
        <v>29</v>
      </c>
      <c r="I153" s="23" t="n">
        <f aca="false">G153-H153</f>
        <v>27</v>
      </c>
      <c r="J153" s="21" t="str">
        <f aca="false">IF(I153&lt;50,"LOW-IN-STOCK","IN-STOCK")</f>
        <v>LOW-IN-STOCK</v>
      </c>
      <c r="K153" s="22" t="n">
        <f aca="false">E153*G153</f>
        <v>783.44</v>
      </c>
      <c r="L153" s="22" t="n">
        <f aca="false">F153*H153</f>
        <v>790.54</v>
      </c>
      <c r="M153" s="22" t="n">
        <f aca="false">L153-K153</f>
        <v>7.10000000000002</v>
      </c>
    </row>
    <row r="154" customFormat="false" ht="15" hidden="false" customHeight="false" outlineLevel="0" collapsed="false">
      <c r="A154" s="21" t="s">
        <v>315</v>
      </c>
      <c r="B154" s="21" t="s">
        <v>267</v>
      </c>
      <c r="C154" s="21" t="s">
        <v>148</v>
      </c>
      <c r="D154" s="21" t="s">
        <v>88</v>
      </c>
      <c r="E154" s="22" t="n">
        <v>36.24</v>
      </c>
      <c r="F154" s="22" t="n">
        <v>53.1</v>
      </c>
      <c r="G154" s="23" t="n">
        <v>88</v>
      </c>
      <c r="H154" s="23" t="n">
        <v>46</v>
      </c>
      <c r="I154" s="23" t="n">
        <f aca="false">G154-H154</f>
        <v>42</v>
      </c>
      <c r="J154" s="21" t="str">
        <f aca="false">IF(I154&lt;50,"LOW-IN-STOCK","IN-STOCK")</f>
        <v>LOW-IN-STOCK</v>
      </c>
      <c r="K154" s="22" t="n">
        <f aca="false">E154*G154</f>
        <v>3189.12</v>
      </c>
      <c r="L154" s="22" t="n">
        <f aca="false">F154*H154</f>
        <v>2442.6</v>
      </c>
      <c r="M154" s="22" t="n">
        <f aca="false">L154-K154</f>
        <v>-746.52</v>
      </c>
    </row>
    <row r="155" customFormat="false" ht="15" hidden="false" customHeight="false" outlineLevel="0" collapsed="false">
      <c r="A155" s="21" t="s">
        <v>316</v>
      </c>
      <c r="B155" s="21" t="s">
        <v>157</v>
      </c>
      <c r="C155" s="21" t="s">
        <v>113</v>
      </c>
      <c r="D155" s="21" t="s">
        <v>102</v>
      </c>
      <c r="E155" s="22" t="n">
        <v>18.35</v>
      </c>
      <c r="F155" s="22" t="n">
        <v>24.16</v>
      </c>
      <c r="G155" s="23" t="n">
        <v>436</v>
      </c>
      <c r="H155" s="23" t="n">
        <v>329</v>
      </c>
      <c r="I155" s="23" t="n">
        <f aca="false">G155-H155</f>
        <v>107</v>
      </c>
      <c r="J155" s="21" t="str">
        <f aca="false">IF(I155&lt;50,"LOW-IN-STOCK","IN-STOCK")</f>
        <v>IN-STOCK</v>
      </c>
      <c r="K155" s="22" t="n">
        <f aca="false">E155*G155</f>
        <v>8000.6</v>
      </c>
      <c r="L155" s="22" t="n">
        <f aca="false">F155*H155</f>
        <v>7948.64</v>
      </c>
      <c r="M155" s="22" t="n">
        <f aca="false">L155-K155</f>
        <v>-51.96</v>
      </c>
    </row>
    <row r="156" customFormat="false" ht="15" hidden="false" customHeight="false" outlineLevel="0" collapsed="false">
      <c r="A156" s="21" t="s">
        <v>317</v>
      </c>
      <c r="B156" s="21" t="s">
        <v>129</v>
      </c>
      <c r="C156" s="21" t="s">
        <v>83</v>
      </c>
      <c r="D156" s="21" t="s">
        <v>88</v>
      </c>
      <c r="E156" s="22" t="n">
        <v>17.82</v>
      </c>
      <c r="F156" s="22" t="n">
        <v>30.74</v>
      </c>
      <c r="G156" s="23" t="n">
        <v>491</v>
      </c>
      <c r="H156" s="23" t="n">
        <v>62</v>
      </c>
      <c r="I156" s="23" t="n">
        <f aca="false">G156-H156</f>
        <v>429</v>
      </c>
      <c r="J156" s="21" t="str">
        <f aca="false">IF(I156&lt;50,"LOW-IN-STOCK","IN-STOCK")</f>
        <v>IN-STOCK</v>
      </c>
      <c r="K156" s="22" t="n">
        <f aca="false">E156*G156</f>
        <v>8749.62</v>
      </c>
      <c r="L156" s="22" t="n">
        <f aca="false">F156*H156</f>
        <v>1905.88</v>
      </c>
      <c r="M156" s="22" t="n">
        <f aca="false">L156-K156</f>
        <v>-6843.74</v>
      </c>
    </row>
    <row r="157" customFormat="false" ht="15" hidden="false" customHeight="false" outlineLevel="0" collapsed="false">
      <c r="A157" s="21" t="s">
        <v>318</v>
      </c>
      <c r="B157" s="21" t="s">
        <v>319</v>
      </c>
      <c r="C157" s="21" t="s">
        <v>113</v>
      </c>
      <c r="D157" s="21" t="s">
        <v>80</v>
      </c>
      <c r="E157" s="22" t="n">
        <v>18.23</v>
      </c>
      <c r="F157" s="22" t="n">
        <v>29.33</v>
      </c>
      <c r="G157" s="23" t="n">
        <v>424</v>
      </c>
      <c r="H157" s="23" t="n">
        <v>108</v>
      </c>
      <c r="I157" s="23" t="n">
        <f aca="false">G157-H157</f>
        <v>316</v>
      </c>
      <c r="J157" s="21" t="str">
        <f aca="false">IF(I157&lt;50,"LOW-IN-STOCK","IN-STOCK")</f>
        <v>IN-STOCK</v>
      </c>
      <c r="K157" s="22" t="n">
        <f aca="false">E157*G157</f>
        <v>7729.52</v>
      </c>
      <c r="L157" s="22" t="n">
        <f aca="false">F157*H157</f>
        <v>3167.64</v>
      </c>
      <c r="M157" s="22" t="n">
        <f aca="false">L157-K157</f>
        <v>-4561.88</v>
      </c>
    </row>
    <row r="158" customFormat="false" ht="15" hidden="false" customHeight="false" outlineLevel="0" collapsed="false">
      <c r="A158" s="21" t="s">
        <v>320</v>
      </c>
      <c r="B158" s="21" t="s">
        <v>280</v>
      </c>
      <c r="C158" s="21" t="s">
        <v>83</v>
      </c>
      <c r="D158" s="21" t="s">
        <v>84</v>
      </c>
      <c r="E158" s="22" t="n">
        <v>5.54</v>
      </c>
      <c r="F158" s="22" t="n">
        <v>10.1</v>
      </c>
      <c r="G158" s="23" t="n">
        <v>148</v>
      </c>
      <c r="H158" s="23" t="n">
        <v>47</v>
      </c>
      <c r="I158" s="23" t="n">
        <f aca="false">G158-H158</f>
        <v>101</v>
      </c>
      <c r="J158" s="21" t="str">
        <f aca="false">IF(I158&lt;50,"LOW-IN-STOCK","IN-STOCK")</f>
        <v>IN-STOCK</v>
      </c>
      <c r="K158" s="22" t="n">
        <f aca="false">E158*G158</f>
        <v>819.92</v>
      </c>
      <c r="L158" s="22" t="n">
        <f aca="false">F158*H158</f>
        <v>474.7</v>
      </c>
      <c r="M158" s="22" t="n">
        <f aca="false">L158-K158</f>
        <v>-345.22</v>
      </c>
    </row>
    <row r="159" customFormat="false" ht="15" hidden="false" customHeight="false" outlineLevel="0" collapsed="false">
      <c r="A159" s="21" t="s">
        <v>321</v>
      </c>
      <c r="B159" s="21" t="s">
        <v>101</v>
      </c>
      <c r="C159" s="21" t="s">
        <v>83</v>
      </c>
      <c r="D159" s="21" t="s">
        <v>102</v>
      </c>
      <c r="E159" s="22" t="n">
        <v>23.5</v>
      </c>
      <c r="F159" s="22" t="n">
        <v>34.99</v>
      </c>
      <c r="G159" s="23" t="n">
        <v>238</v>
      </c>
      <c r="H159" s="23" t="n">
        <v>78</v>
      </c>
      <c r="I159" s="23" t="n">
        <f aca="false">G159-H159</f>
        <v>160</v>
      </c>
      <c r="J159" s="21" t="str">
        <f aca="false">IF(I159&lt;50,"LOW-IN-STOCK","IN-STOCK")</f>
        <v>IN-STOCK</v>
      </c>
      <c r="K159" s="22" t="n">
        <f aca="false">E159*G159</f>
        <v>5593</v>
      </c>
      <c r="L159" s="22" t="n">
        <f aca="false">F159*H159</f>
        <v>2729.22</v>
      </c>
      <c r="M159" s="22" t="n">
        <f aca="false">L159-K159</f>
        <v>-2863.78</v>
      </c>
    </row>
    <row r="160" customFormat="false" ht="15" hidden="false" customHeight="false" outlineLevel="0" collapsed="false">
      <c r="A160" s="21" t="s">
        <v>322</v>
      </c>
      <c r="B160" s="21" t="s">
        <v>267</v>
      </c>
      <c r="C160" s="21" t="s">
        <v>148</v>
      </c>
      <c r="D160" s="21" t="s">
        <v>80</v>
      </c>
      <c r="E160" s="22" t="n">
        <v>30.94</v>
      </c>
      <c r="F160" s="22" t="n">
        <v>55.44</v>
      </c>
      <c r="G160" s="23" t="n">
        <v>470</v>
      </c>
      <c r="H160" s="23" t="n">
        <v>357</v>
      </c>
      <c r="I160" s="23" t="n">
        <f aca="false">G160-H160</f>
        <v>113</v>
      </c>
      <c r="J160" s="21" t="str">
        <f aca="false">IF(I160&lt;50,"LOW-IN-STOCK","IN-STOCK")</f>
        <v>IN-STOCK</v>
      </c>
      <c r="K160" s="22" t="n">
        <f aca="false">E160*G160</f>
        <v>14541.8</v>
      </c>
      <c r="L160" s="22" t="n">
        <f aca="false">F160*H160</f>
        <v>19792.08</v>
      </c>
      <c r="M160" s="22" t="n">
        <f aca="false">L160-K160</f>
        <v>5250.28</v>
      </c>
    </row>
    <row r="161" customFormat="false" ht="15" hidden="false" customHeight="false" outlineLevel="0" collapsed="false">
      <c r="A161" s="21" t="s">
        <v>323</v>
      </c>
      <c r="B161" s="21" t="s">
        <v>166</v>
      </c>
      <c r="C161" s="21" t="s">
        <v>93</v>
      </c>
      <c r="D161" s="21" t="s">
        <v>76</v>
      </c>
      <c r="E161" s="22" t="n">
        <v>4.47</v>
      </c>
      <c r="F161" s="22" t="n">
        <v>8.83</v>
      </c>
      <c r="G161" s="23" t="n">
        <v>327</v>
      </c>
      <c r="H161" s="23" t="n">
        <v>135</v>
      </c>
      <c r="I161" s="23" t="n">
        <f aca="false">G161-H161</f>
        <v>192</v>
      </c>
      <c r="J161" s="21" t="str">
        <f aca="false">IF(I161&lt;50,"LOW-IN-STOCK","IN-STOCK")</f>
        <v>IN-STOCK</v>
      </c>
      <c r="K161" s="22" t="n">
        <f aca="false">E161*G161</f>
        <v>1461.69</v>
      </c>
      <c r="L161" s="22" t="n">
        <f aca="false">F161*H161</f>
        <v>1192.05</v>
      </c>
      <c r="M161" s="22" t="n">
        <f aca="false">L161-K161</f>
        <v>-269.64</v>
      </c>
    </row>
    <row r="162" customFormat="false" ht="15" hidden="false" customHeight="false" outlineLevel="0" collapsed="false">
      <c r="A162" s="21" t="s">
        <v>324</v>
      </c>
      <c r="B162" s="21" t="s">
        <v>136</v>
      </c>
      <c r="C162" s="21" t="s">
        <v>87</v>
      </c>
      <c r="D162" s="21" t="s">
        <v>84</v>
      </c>
      <c r="E162" s="22" t="n">
        <v>24.53</v>
      </c>
      <c r="F162" s="22" t="n">
        <v>46.7</v>
      </c>
      <c r="G162" s="23" t="n">
        <v>475</v>
      </c>
      <c r="H162" s="23" t="n">
        <v>402</v>
      </c>
      <c r="I162" s="23" t="n">
        <f aca="false">G162-H162</f>
        <v>73</v>
      </c>
      <c r="J162" s="21" t="str">
        <f aca="false">IF(I162&lt;50,"LOW-IN-STOCK","IN-STOCK")</f>
        <v>IN-STOCK</v>
      </c>
      <c r="K162" s="22" t="n">
        <f aca="false">E162*G162</f>
        <v>11651.75</v>
      </c>
      <c r="L162" s="22" t="n">
        <f aca="false">F162*H162</f>
        <v>18773.4</v>
      </c>
      <c r="M162" s="22" t="n">
        <f aca="false">L162-K162</f>
        <v>7121.65</v>
      </c>
    </row>
    <row r="163" customFormat="false" ht="15" hidden="false" customHeight="false" outlineLevel="0" collapsed="false">
      <c r="A163" s="21" t="s">
        <v>325</v>
      </c>
      <c r="B163" s="21" t="s">
        <v>211</v>
      </c>
      <c r="C163" s="21" t="s">
        <v>113</v>
      </c>
      <c r="D163" s="21" t="s">
        <v>137</v>
      </c>
      <c r="E163" s="22" t="n">
        <v>22</v>
      </c>
      <c r="F163" s="22" t="n">
        <v>28.99</v>
      </c>
      <c r="G163" s="23" t="n">
        <v>445</v>
      </c>
      <c r="H163" s="23" t="n">
        <v>214</v>
      </c>
      <c r="I163" s="23" t="n">
        <f aca="false">G163-H163</f>
        <v>231</v>
      </c>
      <c r="J163" s="21" t="str">
        <f aca="false">IF(I163&lt;50,"LOW-IN-STOCK","IN-STOCK")</f>
        <v>IN-STOCK</v>
      </c>
      <c r="K163" s="22" t="n">
        <f aca="false">E163*G163</f>
        <v>9790</v>
      </c>
      <c r="L163" s="22" t="n">
        <f aca="false">F163*H163</f>
        <v>6203.86</v>
      </c>
      <c r="M163" s="22" t="n">
        <f aca="false">L163-K163</f>
        <v>-3586.14</v>
      </c>
    </row>
    <row r="164" customFormat="false" ht="15" hidden="false" customHeight="false" outlineLevel="0" collapsed="false">
      <c r="A164" s="21" t="s">
        <v>326</v>
      </c>
      <c r="B164" s="21" t="s">
        <v>174</v>
      </c>
      <c r="C164" s="21" t="s">
        <v>113</v>
      </c>
      <c r="D164" s="21" t="s">
        <v>80</v>
      </c>
      <c r="E164" s="22" t="n">
        <v>24.14</v>
      </c>
      <c r="F164" s="22" t="n">
        <v>49.7</v>
      </c>
      <c r="G164" s="23" t="n">
        <v>177</v>
      </c>
      <c r="H164" s="23" t="n">
        <v>77</v>
      </c>
      <c r="I164" s="23" t="n">
        <f aca="false">G164-H164</f>
        <v>100</v>
      </c>
      <c r="J164" s="21" t="str">
        <f aca="false">IF(I164&lt;50,"LOW-IN-STOCK","IN-STOCK")</f>
        <v>IN-STOCK</v>
      </c>
      <c r="K164" s="22" t="n">
        <f aca="false">E164*G164</f>
        <v>4272.78</v>
      </c>
      <c r="L164" s="22" t="n">
        <f aca="false">F164*H164</f>
        <v>3826.9</v>
      </c>
      <c r="M164" s="22" t="n">
        <f aca="false">L164-K164</f>
        <v>-445.88</v>
      </c>
    </row>
    <row r="165" customFormat="false" ht="15" hidden="false" customHeight="false" outlineLevel="0" collapsed="false">
      <c r="A165" s="21" t="s">
        <v>327</v>
      </c>
      <c r="B165" s="21" t="s">
        <v>162</v>
      </c>
      <c r="C165" s="21" t="s">
        <v>113</v>
      </c>
      <c r="D165" s="21" t="s">
        <v>114</v>
      </c>
      <c r="E165" s="22" t="n">
        <v>30.52</v>
      </c>
      <c r="F165" s="22" t="n">
        <v>48.37</v>
      </c>
      <c r="G165" s="23" t="n">
        <v>158</v>
      </c>
      <c r="H165" s="23" t="n">
        <v>137</v>
      </c>
      <c r="I165" s="23" t="n">
        <f aca="false">G165-H165</f>
        <v>21</v>
      </c>
      <c r="J165" s="21" t="str">
        <f aca="false">IF(I165&lt;50,"LOW-IN-STOCK","IN-STOCK")</f>
        <v>LOW-IN-STOCK</v>
      </c>
      <c r="K165" s="22" t="n">
        <f aca="false">E165*G165</f>
        <v>4822.16</v>
      </c>
      <c r="L165" s="22" t="n">
        <f aca="false">F165*H165</f>
        <v>6626.69</v>
      </c>
      <c r="M165" s="22" t="n">
        <f aca="false">L165-K165</f>
        <v>1804.53</v>
      </c>
    </row>
    <row r="166" customFormat="false" ht="15" hidden="false" customHeight="false" outlineLevel="0" collapsed="false">
      <c r="A166" s="21" t="s">
        <v>328</v>
      </c>
      <c r="B166" s="21" t="s">
        <v>97</v>
      </c>
      <c r="C166" s="21" t="s">
        <v>83</v>
      </c>
      <c r="D166" s="21" t="s">
        <v>80</v>
      </c>
      <c r="E166" s="22" t="n">
        <v>10.53</v>
      </c>
      <c r="F166" s="22" t="n">
        <v>21.71</v>
      </c>
      <c r="G166" s="23" t="n">
        <v>142</v>
      </c>
      <c r="H166" s="23" t="n">
        <v>75</v>
      </c>
      <c r="I166" s="23" t="n">
        <f aca="false">G166-H166</f>
        <v>67</v>
      </c>
      <c r="J166" s="21" t="str">
        <f aca="false">IF(I166&lt;50,"LOW-IN-STOCK","IN-STOCK")</f>
        <v>IN-STOCK</v>
      </c>
      <c r="K166" s="22" t="n">
        <f aca="false">E166*G166</f>
        <v>1495.26</v>
      </c>
      <c r="L166" s="22" t="n">
        <f aca="false">F166*H166</f>
        <v>1628.25</v>
      </c>
      <c r="M166" s="22" t="n">
        <f aca="false">L166-K166</f>
        <v>132.99</v>
      </c>
    </row>
    <row r="167" customFormat="false" ht="15" hidden="false" customHeight="false" outlineLevel="0" collapsed="false">
      <c r="A167" s="21" t="s">
        <v>329</v>
      </c>
      <c r="B167" s="21" t="s">
        <v>195</v>
      </c>
      <c r="C167" s="21" t="s">
        <v>79</v>
      </c>
      <c r="D167" s="21" t="s">
        <v>137</v>
      </c>
      <c r="E167" s="22" t="n">
        <v>19.2</v>
      </c>
      <c r="F167" s="22" t="n">
        <v>33.39</v>
      </c>
      <c r="G167" s="23" t="n">
        <v>315</v>
      </c>
      <c r="H167" s="23" t="n">
        <v>137</v>
      </c>
      <c r="I167" s="23" t="n">
        <f aca="false">G167-H167</f>
        <v>178</v>
      </c>
      <c r="J167" s="21" t="str">
        <f aca="false">IF(I167&lt;50,"LOW-IN-STOCK","IN-STOCK")</f>
        <v>IN-STOCK</v>
      </c>
      <c r="K167" s="22" t="n">
        <f aca="false">E167*G167</f>
        <v>6048</v>
      </c>
      <c r="L167" s="22" t="n">
        <f aca="false">F167*H167</f>
        <v>4574.43</v>
      </c>
      <c r="M167" s="22" t="n">
        <f aca="false">L167-K167</f>
        <v>-1473.57</v>
      </c>
    </row>
    <row r="168" customFormat="false" ht="15" hidden="false" customHeight="false" outlineLevel="0" collapsed="false">
      <c r="A168" s="21" t="s">
        <v>330</v>
      </c>
      <c r="B168" s="21" t="s">
        <v>78</v>
      </c>
      <c r="C168" s="21" t="s">
        <v>79</v>
      </c>
      <c r="D168" s="21" t="s">
        <v>102</v>
      </c>
      <c r="E168" s="22" t="n">
        <v>5.26</v>
      </c>
      <c r="F168" s="22" t="n">
        <v>10.02</v>
      </c>
      <c r="G168" s="23" t="n">
        <v>72</v>
      </c>
      <c r="H168" s="23" t="n">
        <v>39</v>
      </c>
      <c r="I168" s="23" t="n">
        <f aca="false">G168-H168</f>
        <v>33</v>
      </c>
      <c r="J168" s="21" t="str">
        <f aca="false">IF(I168&lt;50,"LOW-IN-STOCK","IN-STOCK")</f>
        <v>LOW-IN-STOCK</v>
      </c>
      <c r="K168" s="22" t="n">
        <f aca="false">E168*G168</f>
        <v>378.72</v>
      </c>
      <c r="L168" s="22" t="n">
        <f aca="false">F168*H168</f>
        <v>390.78</v>
      </c>
      <c r="M168" s="22" t="n">
        <f aca="false">L168-K168</f>
        <v>12.06</v>
      </c>
    </row>
    <row r="169" customFormat="false" ht="15" hidden="false" customHeight="false" outlineLevel="0" collapsed="false">
      <c r="A169" s="21" t="s">
        <v>331</v>
      </c>
      <c r="B169" s="21" t="s">
        <v>332</v>
      </c>
      <c r="C169" s="21" t="s">
        <v>107</v>
      </c>
      <c r="D169" s="21" t="s">
        <v>84</v>
      </c>
      <c r="E169" s="22" t="n">
        <v>14.49</v>
      </c>
      <c r="F169" s="22" t="n">
        <v>22.05</v>
      </c>
      <c r="G169" s="23" t="n">
        <v>198</v>
      </c>
      <c r="H169" s="23" t="n">
        <v>122</v>
      </c>
      <c r="I169" s="23" t="n">
        <f aca="false">G169-H169</f>
        <v>76</v>
      </c>
      <c r="J169" s="21" t="str">
        <f aca="false">IF(I169&lt;50,"LOW-IN-STOCK","IN-STOCK")</f>
        <v>IN-STOCK</v>
      </c>
      <c r="K169" s="22" t="n">
        <f aca="false">E169*G169</f>
        <v>2869.02</v>
      </c>
      <c r="L169" s="22" t="n">
        <f aca="false">F169*H169</f>
        <v>2690.1</v>
      </c>
      <c r="M169" s="22" t="n">
        <f aca="false">L169-K169</f>
        <v>-178.92</v>
      </c>
    </row>
    <row r="170" customFormat="false" ht="15" hidden="false" customHeight="false" outlineLevel="0" collapsed="false">
      <c r="A170" s="21" t="s">
        <v>333</v>
      </c>
      <c r="B170" s="21" t="s">
        <v>122</v>
      </c>
      <c r="C170" s="21" t="s">
        <v>75</v>
      </c>
      <c r="D170" s="21" t="s">
        <v>76</v>
      </c>
      <c r="E170" s="22" t="n">
        <v>20.87</v>
      </c>
      <c r="F170" s="22" t="n">
        <v>42.75</v>
      </c>
      <c r="G170" s="23" t="n">
        <v>275</v>
      </c>
      <c r="H170" s="23" t="n">
        <v>205</v>
      </c>
      <c r="I170" s="23" t="n">
        <f aca="false">G170-H170</f>
        <v>70</v>
      </c>
      <c r="J170" s="21" t="str">
        <f aca="false">IF(I170&lt;50,"LOW-IN-STOCK","IN-STOCK")</f>
        <v>IN-STOCK</v>
      </c>
      <c r="K170" s="22" t="n">
        <f aca="false">E170*G170</f>
        <v>5739.25</v>
      </c>
      <c r="L170" s="22" t="n">
        <f aca="false">F170*H170</f>
        <v>8763.75</v>
      </c>
      <c r="M170" s="22" t="n">
        <f aca="false">L170-K170</f>
        <v>3024.5</v>
      </c>
    </row>
    <row r="171" customFormat="false" ht="15" hidden="false" customHeight="false" outlineLevel="0" collapsed="false">
      <c r="A171" s="21" t="s">
        <v>334</v>
      </c>
      <c r="B171" s="21" t="s">
        <v>145</v>
      </c>
      <c r="C171" s="21" t="s">
        <v>87</v>
      </c>
      <c r="D171" s="21" t="s">
        <v>84</v>
      </c>
      <c r="E171" s="22" t="n">
        <v>19.83</v>
      </c>
      <c r="F171" s="22" t="n">
        <v>34.38</v>
      </c>
      <c r="G171" s="23" t="n">
        <v>433</v>
      </c>
      <c r="H171" s="23" t="n">
        <v>93</v>
      </c>
      <c r="I171" s="23" t="n">
        <f aca="false">G171-H171</f>
        <v>340</v>
      </c>
      <c r="J171" s="21" t="str">
        <f aca="false">IF(I171&lt;50,"LOW-IN-STOCK","IN-STOCK")</f>
        <v>IN-STOCK</v>
      </c>
      <c r="K171" s="22" t="n">
        <f aca="false">E171*G171</f>
        <v>8586.39</v>
      </c>
      <c r="L171" s="22" t="n">
        <f aca="false">F171*H171</f>
        <v>3197.34</v>
      </c>
      <c r="M171" s="22" t="n">
        <f aca="false">L171-K171</f>
        <v>-5389.05</v>
      </c>
    </row>
    <row r="172" customFormat="false" ht="15" hidden="false" customHeight="false" outlineLevel="0" collapsed="false">
      <c r="A172" s="21" t="s">
        <v>335</v>
      </c>
      <c r="B172" s="21" t="s">
        <v>74</v>
      </c>
      <c r="C172" s="21" t="s">
        <v>75</v>
      </c>
      <c r="D172" s="21" t="s">
        <v>108</v>
      </c>
      <c r="E172" s="22" t="n">
        <v>12.95</v>
      </c>
      <c r="F172" s="22" t="n">
        <v>24.64</v>
      </c>
      <c r="G172" s="23" t="n">
        <v>260</v>
      </c>
      <c r="H172" s="23" t="n">
        <v>84</v>
      </c>
      <c r="I172" s="23" t="n">
        <f aca="false">G172-H172</f>
        <v>176</v>
      </c>
      <c r="J172" s="21" t="str">
        <f aca="false">IF(I172&lt;50,"LOW-IN-STOCK","IN-STOCK")</f>
        <v>IN-STOCK</v>
      </c>
      <c r="K172" s="22" t="n">
        <f aca="false">E172*G172</f>
        <v>3367</v>
      </c>
      <c r="L172" s="22" t="n">
        <f aca="false">F172*H172</f>
        <v>2069.76</v>
      </c>
      <c r="M172" s="22" t="n">
        <f aca="false">L172-K172</f>
        <v>-1297.24</v>
      </c>
    </row>
    <row r="173" customFormat="false" ht="15" hidden="false" customHeight="false" outlineLevel="0" collapsed="false">
      <c r="A173" s="21" t="s">
        <v>336</v>
      </c>
      <c r="B173" s="21" t="s">
        <v>280</v>
      </c>
      <c r="C173" s="21" t="s">
        <v>83</v>
      </c>
      <c r="D173" s="21" t="s">
        <v>88</v>
      </c>
      <c r="E173" s="22" t="n">
        <v>17.1</v>
      </c>
      <c r="F173" s="22" t="n">
        <v>31.04</v>
      </c>
      <c r="G173" s="23" t="n">
        <v>137</v>
      </c>
      <c r="H173" s="23" t="n">
        <v>40</v>
      </c>
      <c r="I173" s="23" t="n">
        <f aca="false">G173-H173</f>
        <v>97</v>
      </c>
      <c r="J173" s="21" t="str">
        <f aca="false">IF(I173&lt;50,"LOW-IN-STOCK","IN-STOCK")</f>
        <v>IN-STOCK</v>
      </c>
      <c r="K173" s="22" t="n">
        <f aca="false">E173*G173</f>
        <v>2342.7</v>
      </c>
      <c r="L173" s="22" t="n">
        <f aca="false">F173*H173</f>
        <v>1241.6</v>
      </c>
      <c r="M173" s="22" t="n">
        <f aca="false">L173-K173</f>
        <v>-1101.1</v>
      </c>
    </row>
    <row r="174" customFormat="false" ht="15" hidden="false" customHeight="false" outlineLevel="0" collapsed="false">
      <c r="A174" s="21" t="s">
        <v>337</v>
      </c>
      <c r="B174" s="21" t="s">
        <v>191</v>
      </c>
      <c r="C174" s="21" t="s">
        <v>148</v>
      </c>
      <c r="D174" s="21" t="s">
        <v>137</v>
      </c>
      <c r="E174" s="22" t="n">
        <v>55.77</v>
      </c>
      <c r="F174" s="22" t="n">
        <v>106.49</v>
      </c>
      <c r="G174" s="23" t="n">
        <v>203</v>
      </c>
      <c r="H174" s="23" t="n">
        <v>140</v>
      </c>
      <c r="I174" s="23" t="n">
        <f aca="false">G174-H174</f>
        <v>63</v>
      </c>
      <c r="J174" s="21" t="str">
        <f aca="false">IF(I174&lt;50,"LOW-IN-STOCK","IN-STOCK")</f>
        <v>IN-STOCK</v>
      </c>
      <c r="K174" s="22" t="n">
        <f aca="false">E174*G174</f>
        <v>11321.31</v>
      </c>
      <c r="L174" s="22" t="n">
        <f aca="false">F174*H174</f>
        <v>14908.6</v>
      </c>
      <c r="M174" s="22" t="n">
        <f aca="false">L174-K174</f>
        <v>3587.29</v>
      </c>
    </row>
    <row r="175" customFormat="false" ht="15" hidden="false" customHeight="false" outlineLevel="0" collapsed="false">
      <c r="A175" s="21" t="s">
        <v>338</v>
      </c>
      <c r="B175" s="21" t="s">
        <v>267</v>
      </c>
      <c r="C175" s="21" t="s">
        <v>148</v>
      </c>
      <c r="D175" s="21" t="s">
        <v>108</v>
      </c>
      <c r="E175" s="22" t="n">
        <v>70.76</v>
      </c>
      <c r="F175" s="22" t="n">
        <v>136.44</v>
      </c>
      <c r="G175" s="23" t="n">
        <v>312</v>
      </c>
      <c r="H175" s="23" t="n">
        <v>206</v>
      </c>
      <c r="I175" s="23" t="n">
        <f aca="false">G175-H175</f>
        <v>106</v>
      </c>
      <c r="J175" s="21" t="str">
        <f aca="false">IF(I175&lt;50,"LOW-IN-STOCK","IN-STOCK")</f>
        <v>IN-STOCK</v>
      </c>
      <c r="K175" s="22" t="n">
        <f aca="false">E175*G175</f>
        <v>22077.12</v>
      </c>
      <c r="L175" s="22" t="n">
        <f aca="false">F175*H175</f>
        <v>28106.64</v>
      </c>
      <c r="M175" s="22" t="n">
        <f aca="false">L175-K175</f>
        <v>6029.52</v>
      </c>
    </row>
    <row r="176" customFormat="false" ht="15" hidden="false" customHeight="false" outlineLevel="0" collapsed="false">
      <c r="A176" s="21" t="s">
        <v>339</v>
      </c>
      <c r="B176" s="21" t="s">
        <v>188</v>
      </c>
      <c r="C176" s="21" t="s">
        <v>113</v>
      </c>
      <c r="D176" s="21" t="s">
        <v>137</v>
      </c>
      <c r="E176" s="22" t="n">
        <v>6.92</v>
      </c>
      <c r="F176" s="22" t="n">
        <v>13.99</v>
      </c>
      <c r="G176" s="23" t="n">
        <v>497</v>
      </c>
      <c r="H176" s="23" t="n">
        <v>101</v>
      </c>
      <c r="I176" s="23" t="n">
        <f aca="false">G176-H176</f>
        <v>396</v>
      </c>
      <c r="J176" s="21" t="str">
        <f aca="false">IF(I176&lt;50,"LOW-IN-STOCK","IN-STOCK")</f>
        <v>IN-STOCK</v>
      </c>
      <c r="K176" s="22" t="n">
        <f aca="false">E176*G176</f>
        <v>3439.24</v>
      </c>
      <c r="L176" s="22" t="n">
        <f aca="false">F176*H176</f>
        <v>1412.99</v>
      </c>
      <c r="M176" s="22" t="n">
        <f aca="false">L176-K176</f>
        <v>-2026.25</v>
      </c>
    </row>
    <row r="177" customFormat="false" ht="15" hidden="false" customHeight="false" outlineLevel="0" collapsed="false">
      <c r="A177" s="21" t="s">
        <v>340</v>
      </c>
      <c r="B177" s="21" t="s">
        <v>306</v>
      </c>
      <c r="C177" s="21" t="s">
        <v>93</v>
      </c>
      <c r="D177" s="21" t="s">
        <v>108</v>
      </c>
      <c r="E177" s="22" t="n">
        <v>2.54</v>
      </c>
      <c r="F177" s="22" t="n">
        <v>3.65</v>
      </c>
      <c r="G177" s="23" t="n">
        <v>31</v>
      </c>
      <c r="H177" s="23" t="n">
        <v>15</v>
      </c>
      <c r="I177" s="23" t="n">
        <f aca="false">G177-H177</f>
        <v>16</v>
      </c>
      <c r="J177" s="21" t="str">
        <f aca="false">IF(I177&lt;50,"LOW-IN-STOCK","IN-STOCK")</f>
        <v>LOW-IN-STOCK</v>
      </c>
      <c r="K177" s="22" t="n">
        <f aca="false">E177*G177</f>
        <v>78.74</v>
      </c>
      <c r="L177" s="22" t="n">
        <f aca="false">F177*H177</f>
        <v>54.75</v>
      </c>
      <c r="M177" s="22" t="n">
        <f aca="false">L177-K177</f>
        <v>-23.99</v>
      </c>
    </row>
    <row r="178" customFormat="false" ht="15" hidden="false" customHeight="false" outlineLevel="0" collapsed="false">
      <c r="A178" s="21" t="s">
        <v>341</v>
      </c>
      <c r="B178" s="21" t="s">
        <v>78</v>
      </c>
      <c r="C178" s="21" t="s">
        <v>79</v>
      </c>
      <c r="D178" s="21" t="s">
        <v>88</v>
      </c>
      <c r="E178" s="22" t="n">
        <v>18.96</v>
      </c>
      <c r="F178" s="22" t="n">
        <v>37.68</v>
      </c>
      <c r="G178" s="23" t="n">
        <v>345</v>
      </c>
      <c r="H178" s="23" t="n">
        <v>275</v>
      </c>
      <c r="I178" s="23" t="n">
        <f aca="false">G178-H178</f>
        <v>70</v>
      </c>
      <c r="J178" s="21" t="str">
        <f aca="false">IF(I178&lt;50,"LOW-IN-STOCK","IN-STOCK")</f>
        <v>IN-STOCK</v>
      </c>
      <c r="K178" s="22" t="n">
        <f aca="false">E178*G178</f>
        <v>6541.2</v>
      </c>
      <c r="L178" s="22" t="n">
        <f aca="false">F178*H178</f>
        <v>10362</v>
      </c>
      <c r="M178" s="22" t="n">
        <f aca="false">L178-K178</f>
        <v>3820.8</v>
      </c>
    </row>
    <row r="179" customFormat="false" ht="15" hidden="false" customHeight="false" outlineLevel="0" collapsed="false">
      <c r="A179" s="21" t="s">
        <v>342</v>
      </c>
      <c r="B179" s="21" t="s">
        <v>216</v>
      </c>
      <c r="C179" s="21" t="s">
        <v>107</v>
      </c>
      <c r="D179" s="21" t="s">
        <v>108</v>
      </c>
      <c r="E179" s="22" t="n">
        <v>4.26</v>
      </c>
      <c r="F179" s="22" t="n">
        <v>8.07</v>
      </c>
      <c r="G179" s="23" t="n">
        <v>311</v>
      </c>
      <c r="H179" s="23" t="n">
        <v>270</v>
      </c>
      <c r="I179" s="23" t="n">
        <f aca="false">G179-H179</f>
        <v>41</v>
      </c>
      <c r="J179" s="21" t="str">
        <f aca="false">IF(I179&lt;50,"LOW-IN-STOCK","IN-STOCK")</f>
        <v>LOW-IN-STOCK</v>
      </c>
      <c r="K179" s="22" t="n">
        <f aca="false">E179*G179</f>
        <v>1324.86</v>
      </c>
      <c r="L179" s="22" t="n">
        <f aca="false">F179*H179</f>
        <v>2178.9</v>
      </c>
      <c r="M179" s="22" t="n">
        <f aca="false">L179-K179</f>
        <v>854.04</v>
      </c>
    </row>
    <row r="180" customFormat="false" ht="15" hidden="false" customHeight="false" outlineLevel="0" collapsed="false">
      <c r="A180" s="21" t="s">
        <v>343</v>
      </c>
      <c r="B180" s="21" t="s">
        <v>134</v>
      </c>
      <c r="C180" s="21" t="s">
        <v>83</v>
      </c>
      <c r="D180" s="21" t="s">
        <v>88</v>
      </c>
      <c r="E180" s="22" t="n">
        <v>23.05</v>
      </c>
      <c r="F180" s="22" t="n">
        <v>37.49</v>
      </c>
      <c r="G180" s="23" t="n">
        <v>185</v>
      </c>
      <c r="H180" s="23" t="n">
        <v>34</v>
      </c>
      <c r="I180" s="23" t="n">
        <f aca="false">G180-H180</f>
        <v>151</v>
      </c>
      <c r="J180" s="21" t="str">
        <f aca="false">IF(I180&lt;50,"LOW-IN-STOCK","IN-STOCK")</f>
        <v>IN-STOCK</v>
      </c>
      <c r="K180" s="22" t="n">
        <f aca="false">E180*G180</f>
        <v>4264.25</v>
      </c>
      <c r="L180" s="22" t="n">
        <f aca="false">F180*H180</f>
        <v>1274.66</v>
      </c>
      <c r="M180" s="22" t="n">
        <f aca="false">L180-K180</f>
        <v>-2989.59</v>
      </c>
    </row>
    <row r="181" customFormat="false" ht="15" hidden="false" customHeight="false" outlineLevel="0" collapsed="false">
      <c r="A181" s="21" t="s">
        <v>344</v>
      </c>
      <c r="B181" s="21" t="s">
        <v>157</v>
      </c>
      <c r="C181" s="21" t="s">
        <v>113</v>
      </c>
      <c r="D181" s="21" t="s">
        <v>102</v>
      </c>
      <c r="E181" s="22" t="n">
        <v>25.08</v>
      </c>
      <c r="F181" s="22" t="n">
        <v>47.91</v>
      </c>
      <c r="G181" s="23" t="n">
        <v>303</v>
      </c>
      <c r="H181" s="23" t="n">
        <v>40</v>
      </c>
      <c r="I181" s="23" t="n">
        <f aca="false">G181-H181</f>
        <v>263</v>
      </c>
      <c r="J181" s="21" t="str">
        <f aca="false">IF(I181&lt;50,"LOW-IN-STOCK","IN-STOCK")</f>
        <v>IN-STOCK</v>
      </c>
      <c r="K181" s="22" t="n">
        <f aca="false">E181*G181</f>
        <v>7599.24</v>
      </c>
      <c r="L181" s="22" t="n">
        <f aca="false">F181*H181</f>
        <v>1916.4</v>
      </c>
      <c r="M181" s="22" t="n">
        <f aca="false">L181-K181</f>
        <v>-5682.84</v>
      </c>
    </row>
    <row r="182" customFormat="false" ht="15" hidden="false" customHeight="false" outlineLevel="0" collapsed="false">
      <c r="A182" s="21" t="s">
        <v>345</v>
      </c>
      <c r="B182" s="21" t="s">
        <v>116</v>
      </c>
      <c r="C182" s="21" t="s">
        <v>83</v>
      </c>
      <c r="D182" s="21" t="s">
        <v>76</v>
      </c>
      <c r="E182" s="22" t="n">
        <v>15.63</v>
      </c>
      <c r="F182" s="22" t="n">
        <v>31.54</v>
      </c>
      <c r="G182" s="23" t="n">
        <v>286</v>
      </c>
      <c r="H182" s="23" t="n">
        <v>55</v>
      </c>
      <c r="I182" s="23" t="n">
        <f aca="false">G182-H182</f>
        <v>231</v>
      </c>
      <c r="J182" s="21" t="str">
        <f aca="false">IF(I182&lt;50,"LOW-IN-STOCK","IN-STOCK")</f>
        <v>IN-STOCK</v>
      </c>
      <c r="K182" s="22" t="n">
        <f aca="false">E182*G182</f>
        <v>4470.18</v>
      </c>
      <c r="L182" s="22" t="n">
        <f aca="false">F182*H182</f>
        <v>1734.7</v>
      </c>
      <c r="M182" s="22" t="n">
        <f aca="false">L182-K182</f>
        <v>-2735.48</v>
      </c>
    </row>
    <row r="183" customFormat="false" ht="15" hidden="false" customHeight="false" outlineLevel="0" collapsed="false">
      <c r="A183" s="21" t="s">
        <v>346</v>
      </c>
      <c r="B183" s="21" t="s">
        <v>132</v>
      </c>
      <c r="C183" s="21" t="s">
        <v>87</v>
      </c>
      <c r="D183" s="21" t="s">
        <v>160</v>
      </c>
      <c r="E183" s="22" t="n">
        <v>2.94</v>
      </c>
      <c r="F183" s="22" t="n">
        <v>5.73</v>
      </c>
      <c r="G183" s="23" t="n">
        <v>199</v>
      </c>
      <c r="H183" s="23" t="n">
        <v>149</v>
      </c>
      <c r="I183" s="23" t="n">
        <f aca="false">G183-H183</f>
        <v>50</v>
      </c>
      <c r="J183" s="21" t="str">
        <f aca="false">IF(I183&lt;50,"LOW-IN-STOCK","IN-STOCK")</f>
        <v>IN-STOCK</v>
      </c>
      <c r="K183" s="22" t="n">
        <f aca="false">E183*G183</f>
        <v>585.06</v>
      </c>
      <c r="L183" s="22" t="n">
        <f aca="false">F183*H183</f>
        <v>853.77</v>
      </c>
      <c r="M183" s="22" t="n">
        <f aca="false">L183-K183</f>
        <v>268.71</v>
      </c>
    </row>
    <row r="184" customFormat="false" ht="15" hidden="false" customHeight="false" outlineLevel="0" collapsed="false">
      <c r="A184" s="21" t="s">
        <v>347</v>
      </c>
      <c r="B184" s="21" t="s">
        <v>188</v>
      </c>
      <c r="C184" s="21" t="s">
        <v>113</v>
      </c>
      <c r="D184" s="21" t="s">
        <v>108</v>
      </c>
      <c r="E184" s="22" t="n">
        <v>6.81</v>
      </c>
      <c r="F184" s="22" t="n">
        <v>14.82</v>
      </c>
      <c r="G184" s="23" t="n">
        <v>293</v>
      </c>
      <c r="H184" s="23" t="n">
        <v>190</v>
      </c>
      <c r="I184" s="23" t="n">
        <f aca="false">G184-H184</f>
        <v>103</v>
      </c>
      <c r="J184" s="21" t="str">
        <f aca="false">IF(I184&lt;50,"LOW-IN-STOCK","IN-STOCK")</f>
        <v>IN-STOCK</v>
      </c>
      <c r="K184" s="22" t="n">
        <f aca="false">E184*G184</f>
        <v>1995.33</v>
      </c>
      <c r="L184" s="22" t="n">
        <f aca="false">F184*H184</f>
        <v>2815.8</v>
      </c>
      <c r="M184" s="22" t="n">
        <f aca="false">L184-K184</f>
        <v>820.47</v>
      </c>
    </row>
    <row r="185" customFormat="false" ht="15" hidden="false" customHeight="false" outlineLevel="0" collapsed="false">
      <c r="A185" s="21" t="s">
        <v>348</v>
      </c>
      <c r="B185" s="21" t="s">
        <v>95</v>
      </c>
      <c r="C185" s="21" t="s">
        <v>75</v>
      </c>
      <c r="D185" s="21" t="s">
        <v>76</v>
      </c>
      <c r="E185" s="22" t="n">
        <v>22.7</v>
      </c>
      <c r="F185" s="22" t="n">
        <v>43.04</v>
      </c>
      <c r="G185" s="23" t="n">
        <v>304</v>
      </c>
      <c r="H185" s="23" t="n">
        <v>162</v>
      </c>
      <c r="I185" s="23" t="n">
        <f aca="false">G185-H185</f>
        <v>142</v>
      </c>
      <c r="J185" s="21" t="str">
        <f aca="false">IF(I185&lt;50,"LOW-IN-STOCK","IN-STOCK")</f>
        <v>IN-STOCK</v>
      </c>
      <c r="K185" s="22" t="n">
        <f aca="false">E185*G185</f>
        <v>6900.8</v>
      </c>
      <c r="L185" s="22" t="n">
        <f aca="false">F185*H185</f>
        <v>6972.48</v>
      </c>
      <c r="M185" s="22" t="n">
        <f aca="false">L185-K185</f>
        <v>71.6799999999994</v>
      </c>
    </row>
    <row r="186" customFormat="false" ht="15" hidden="false" customHeight="false" outlineLevel="0" collapsed="false">
      <c r="A186" s="21" t="s">
        <v>349</v>
      </c>
      <c r="B186" s="21" t="s">
        <v>297</v>
      </c>
      <c r="C186" s="21" t="s">
        <v>107</v>
      </c>
      <c r="D186" s="21" t="s">
        <v>102</v>
      </c>
      <c r="E186" s="22" t="n">
        <v>7.38</v>
      </c>
      <c r="F186" s="22" t="n">
        <v>15.01</v>
      </c>
      <c r="G186" s="23" t="n">
        <v>219</v>
      </c>
      <c r="H186" s="23" t="n">
        <v>203</v>
      </c>
      <c r="I186" s="23" t="n">
        <f aca="false">G186-H186</f>
        <v>16</v>
      </c>
      <c r="J186" s="21" t="str">
        <f aca="false">IF(I186&lt;50,"LOW-IN-STOCK","IN-STOCK")</f>
        <v>LOW-IN-STOCK</v>
      </c>
      <c r="K186" s="22" t="n">
        <f aca="false">E186*G186</f>
        <v>1616.22</v>
      </c>
      <c r="L186" s="22" t="n">
        <f aca="false">F186*H186</f>
        <v>3047.03</v>
      </c>
      <c r="M186" s="22" t="n">
        <f aca="false">L186-K186</f>
        <v>1430.81</v>
      </c>
    </row>
    <row r="187" customFormat="false" ht="15" hidden="false" customHeight="false" outlineLevel="0" collapsed="false">
      <c r="A187" s="21" t="s">
        <v>350</v>
      </c>
      <c r="B187" s="21" t="s">
        <v>164</v>
      </c>
      <c r="C187" s="21" t="s">
        <v>93</v>
      </c>
      <c r="D187" s="21" t="s">
        <v>84</v>
      </c>
      <c r="E187" s="22" t="n">
        <v>6.43</v>
      </c>
      <c r="F187" s="22" t="n">
        <v>8.7</v>
      </c>
      <c r="G187" s="23" t="n">
        <v>109</v>
      </c>
      <c r="H187" s="23" t="n">
        <v>18</v>
      </c>
      <c r="I187" s="23" t="n">
        <f aca="false">G187-H187</f>
        <v>91</v>
      </c>
      <c r="J187" s="21" t="str">
        <f aca="false">IF(I187&lt;50,"LOW-IN-STOCK","IN-STOCK")</f>
        <v>IN-STOCK</v>
      </c>
      <c r="K187" s="22" t="n">
        <f aca="false">E187*G187</f>
        <v>700.87</v>
      </c>
      <c r="L187" s="22" t="n">
        <f aca="false">F187*H187</f>
        <v>156.6</v>
      </c>
      <c r="M187" s="22" t="n">
        <f aca="false">L187-K187</f>
        <v>-544.27</v>
      </c>
    </row>
    <row r="188" customFormat="false" ht="15" hidden="false" customHeight="false" outlineLevel="0" collapsed="false">
      <c r="A188" s="21" t="s">
        <v>351</v>
      </c>
      <c r="B188" s="21" t="s">
        <v>287</v>
      </c>
      <c r="C188" s="21" t="s">
        <v>87</v>
      </c>
      <c r="D188" s="21" t="s">
        <v>76</v>
      </c>
      <c r="E188" s="22" t="n">
        <v>12.94</v>
      </c>
      <c r="F188" s="22" t="n">
        <v>23.62</v>
      </c>
      <c r="G188" s="23" t="n">
        <v>477</v>
      </c>
      <c r="H188" s="23" t="n">
        <v>310</v>
      </c>
      <c r="I188" s="23" t="n">
        <f aca="false">G188-H188</f>
        <v>167</v>
      </c>
      <c r="J188" s="21" t="str">
        <f aca="false">IF(I188&lt;50,"LOW-IN-STOCK","IN-STOCK")</f>
        <v>IN-STOCK</v>
      </c>
      <c r="K188" s="22" t="n">
        <f aca="false">E188*G188</f>
        <v>6172.38</v>
      </c>
      <c r="L188" s="22" t="n">
        <f aca="false">F188*H188</f>
        <v>7322.2</v>
      </c>
      <c r="M188" s="22" t="n">
        <f aca="false">L188-K188</f>
        <v>1149.82</v>
      </c>
    </row>
    <row r="189" customFormat="false" ht="15" hidden="false" customHeight="false" outlineLevel="0" collapsed="false">
      <c r="A189" s="21" t="s">
        <v>352</v>
      </c>
      <c r="B189" s="21" t="s">
        <v>229</v>
      </c>
      <c r="C189" s="21" t="s">
        <v>113</v>
      </c>
      <c r="D189" s="21" t="s">
        <v>84</v>
      </c>
      <c r="E189" s="22" t="n">
        <v>32.11</v>
      </c>
      <c r="F189" s="22" t="n">
        <v>54.76</v>
      </c>
      <c r="G189" s="23" t="n">
        <v>235</v>
      </c>
      <c r="H189" s="23" t="n">
        <v>117</v>
      </c>
      <c r="I189" s="23" t="n">
        <f aca="false">G189-H189</f>
        <v>118</v>
      </c>
      <c r="J189" s="21" t="str">
        <f aca="false">IF(I189&lt;50,"LOW-IN-STOCK","IN-STOCK")</f>
        <v>IN-STOCK</v>
      </c>
      <c r="K189" s="22" t="n">
        <f aca="false">E189*G189</f>
        <v>7545.85</v>
      </c>
      <c r="L189" s="22" t="n">
        <f aca="false">F189*H189</f>
        <v>6406.92</v>
      </c>
      <c r="M189" s="22" t="n">
        <f aca="false">L189-K189</f>
        <v>-1138.93</v>
      </c>
    </row>
    <row r="190" customFormat="false" ht="15" hidden="false" customHeight="false" outlineLevel="0" collapsed="false">
      <c r="A190" s="21" t="s">
        <v>353</v>
      </c>
      <c r="B190" s="21" t="s">
        <v>120</v>
      </c>
      <c r="C190" s="21" t="s">
        <v>107</v>
      </c>
      <c r="D190" s="21" t="s">
        <v>137</v>
      </c>
      <c r="E190" s="22" t="n">
        <v>14.65</v>
      </c>
      <c r="F190" s="22" t="n">
        <v>21.44</v>
      </c>
      <c r="G190" s="23" t="n">
        <v>466</v>
      </c>
      <c r="H190" s="23" t="n">
        <v>164</v>
      </c>
      <c r="I190" s="23" t="n">
        <f aca="false">G190-H190</f>
        <v>302</v>
      </c>
      <c r="J190" s="21" t="str">
        <f aca="false">IF(I190&lt;50,"LOW-IN-STOCK","IN-STOCK")</f>
        <v>IN-STOCK</v>
      </c>
      <c r="K190" s="22" t="n">
        <f aca="false">E190*G190</f>
        <v>6826.9</v>
      </c>
      <c r="L190" s="22" t="n">
        <f aca="false">F190*H190</f>
        <v>3516.16</v>
      </c>
      <c r="M190" s="22" t="n">
        <f aca="false">L190-K190</f>
        <v>-3310.74</v>
      </c>
    </row>
    <row r="191" customFormat="false" ht="15" hidden="false" customHeight="false" outlineLevel="0" collapsed="false">
      <c r="A191" s="21" t="s">
        <v>354</v>
      </c>
      <c r="B191" s="21" t="s">
        <v>311</v>
      </c>
      <c r="C191" s="21" t="s">
        <v>75</v>
      </c>
      <c r="D191" s="21" t="s">
        <v>108</v>
      </c>
      <c r="E191" s="22" t="n">
        <v>2.76</v>
      </c>
      <c r="F191" s="22" t="n">
        <v>5.29</v>
      </c>
      <c r="G191" s="23" t="n">
        <v>66</v>
      </c>
      <c r="H191" s="23" t="n">
        <v>43</v>
      </c>
      <c r="I191" s="23" t="n">
        <f aca="false">G191-H191</f>
        <v>23</v>
      </c>
      <c r="J191" s="21" t="str">
        <f aca="false">IF(I191&lt;50,"LOW-IN-STOCK","IN-STOCK")</f>
        <v>LOW-IN-STOCK</v>
      </c>
      <c r="K191" s="22" t="n">
        <f aca="false">E191*G191</f>
        <v>182.16</v>
      </c>
      <c r="L191" s="22" t="n">
        <f aca="false">F191*H191</f>
        <v>227.47</v>
      </c>
      <c r="M191" s="22" t="n">
        <f aca="false">L191-K191</f>
        <v>45.31</v>
      </c>
    </row>
    <row r="192" customFormat="false" ht="15" hidden="false" customHeight="false" outlineLevel="0" collapsed="false">
      <c r="A192" s="21" t="s">
        <v>355</v>
      </c>
      <c r="B192" s="21" t="s">
        <v>243</v>
      </c>
      <c r="C192" s="21" t="s">
        <v>113</v>
      </c>
      <c r="D192" s="21" t="s">
        <v>160</v>
      </c>
      <c r="E192" s="22" t="n">
        <v>22.03</v>
      </c>
      <c r="F192" s="22" t="n">
        <v>38</v>
      </c>
      <c r="G192" s="23" t="n">
        <v>43</v>
      </c>
      <c r="H192" s="23" t="n">
        <v>21</v>
      </c>
      <c r="I192" s="23" t="n">
        <f aca="false">G192-H192</f>
        <v>22</v>
      </c>
      <c r="J192" s="21" t="str">
        <f aca="false">IF(I192&lt;50,"LOW-IN-STOCK","IN-STOCK")</f>
        <v>LOW-IN-STOCK</v>
      </c>
      <c r="K192" s="22" t="n">
        <f aca="false">E192*G192</f>
        <v>947.29</v>
      </c>
      <c r="L192" s="22" t="n">
        <f aca="false">F192*H192</f>
        <v>798</v>
      </c>
      <c r="M192" s="22" t="n">
        <f aca="false">L192-K192</f>
        <v>-149.29</v>
      </c>
    </row>
    <row r="193" customFormat="false" ht="15" hidden="false" customHeight="false" outlineLevel="0" collapsed="false">
      <c r="A193" s="21" t="s">
        <v>356</v>
      </c>
      <c r="B193" s="21" t="s">
        <v>191</v>
      </c>
      <c r="C193" s="21" t="s">
        <v>148</v>
      </c>
      <c r="D193" s="21" t="s">
        <v>88</v>
      </c>
      <c r="E193" s="22" t="n">
        <v>73.26</v>
      </c>
      <c r="F193" s="22" t="n">
        <v>109.44</v>
      </c>
      <c r="G193" s="23" t="n">
        <v>180</v>
      </c>
      <c r="H193" s="23" t="n">
        <v>85</v>
      </c>
      <c r="I193" s="23" t="n">
        <f aca="false">G193-H193</f>
        <v>95</v>
      </c>
      <c r="J193" s="21" t="str">
        <f aca="false">IF(I193&lt;50,"LOW-IN-STOCK","IN-STOCK")</f>
        <v>IN-STOCK</v>
      </c>
      <c r="K193" s="22" t="n">
        <f aca="false">E193*G193</f>
        <v>13186.8</v>
      </c>
      <c r="L193" s="22" t="n">
        <f aca="false">F193*H193</f>
        <v>9302.4</v>
      </c>
      <c r="M193" s="22" t="n">
        <f aca="false">L193-K193</f>
        <v>-3884.4</v>
      </c>
    </row>
    <row r="194" customFormat="false" ht="15" hidden="false" customHeight="false" outlineLevel="0" collapsed="false">
      <c r="A194" s="21" t="s">
        <v>357</v>
      </c>
      <c r="B194" s="21" t="s">
        <v>74</v>
      </c>
      <c r="C194" s="21" t="s">
        <v>75</v>
      </c>
      <c r="D194" s="21" t="s">
        <v>160</v>
      </c>
      <c r="E194" s="22" t="n">
        <v>7.36</v>
      </c>
      <c r="F194" s="22" t="n">
        <v>13.46</v>
      </c>
      <c r="G194" s="23" t="n">
        <v>34</v>
      </c>
      <c r="H194" s="23" t="n">
        <v>14</v>
      </c>
      <c r="I194" s="23" t="n">
        <f aca="false">G194-H194</f>
        <v>20</v>
      </c>
      <c r="J194" s="21" t="str">
        <f aca="false">IF(I194&lt;50,"LOW-IN-STOCK","IN-STOCK")</f>
        <v>LOW-IN-STOCK</v>
      </c>
      <c r="K194" s="22" t="n">
        <f aca="false">E194*G194</f>
        <v>250.24</v>
      </c>
      <c r="L194" s="22" t="n">
        <f aca="false">F194*H194</f>
        <v>188.44</v>
      </c>
      <c r="M194" s="22" t="n">
        <f aca="false">L194-K194</f>
        <v>-61.8</v>
      </c>
    </row>
    <row r="195" customFormat="false" ht="15" hidden="false" customHeight="false" outlineLevel="0" collapsed="false">
      <c r="A195" s="21" t="s">
        <v>358</v>
      </c>
      <c r="B195" s="21" t="s">
        <v>359</v>
      </c>
      <c r="C195" s="21" t="s">
        <v>75</v>
      </c>
      <c r="D195" s="21" t="s">
        <v>88</v>
      </c>
      <c r="E195" s="22" t="n">
        <v>7.36</v>
      </c>
      <c r="F195" s="22" t="n">
        <v>12.43</v>
      </c>
      <c r="G195" s="23" t="n">
        <v>458</v>
      </c>
      <c r="H195" s="23" t="n">
        <v>140</v>
      </c>
      <c r="I195" s="23" t="n">
        <f aca="false">G195-H195</f>
        <v>318</v>
      </c>
      <c r="J195" s="21" t="str">
        <f aca="false">IF(I195&lt;50,"LOW-IN-STOCK","IN-STOCK")</f>
        <v>IN-STOCK</v>
      </c>
      <c r="K195" s="22" t="n">
        <f aca="false">E195*G195</f>
        <v>3370.88</v>
      </c>
      <c r="L195" s="22" t="n">
        <f aca="false">F195*H195</f>
        <v>1740.2</v>
      </c>
      <c r="M195" s="22" t="n">
        <f aca="false">L195-K195</f>
        <v>-1630.68</v>
      </c>
    </row>
    <row r="196" customFormat="false" ht="15" hidden="false" customHeight="false" outlineLevel="0" collapsed="false">
      <c r="A196" s="21" t="s">
        <v>360</v>
      </c>
      <c r="B196" s="21" t="s">
        <v>267</v>
      </c>
      <c r="C196" s="21" t="s">
        <v>148</v>
      </c>
      <c r="D196" s="21" t="s">
        <v>88</v>
      </c>
      <c r="E196" s="22" t="n">
        <v>45.76</v>
      </c>
      <c r="F196" s="22" t="n">
        <v>69.53</v>
      </c>
      <c r="G196" s="23" t="n">
        <v>343</v>
      </c>
      <c r="H196" s="23" t="n">
        <v>292</v>
      </c>
      <c r="I196" s="23" t="n">
        <f aca="false">G196-H196</f>
        <v>51</v>
      </c>
      <c r="J196" s="21" t="str">
        <f aca="false">IF(I196&lt;50,"LOW-IN-STOCK","IN-STOCK")</f>
        <v>IN-STOCK</v>
      </c>
      <c r="K196" s="22" t="n">
        <f aca="false">E196*G196</f>
        <v>15695.68</v>
      </c>
      <c r="L196" s="22" t="n">
        <f aca="false">F196*H196</f>
        <v>20302.76</v>
      </c>
      <c r="M196" s="22" t="n">
        <f aca="false">L196-K196</f>
        <v>4607.08</v>
      </c>
    </row>
    <row r="197" customFormat="false" ht="15" hidden="false" customHeight="false" outlineLevel="0" collapsed="false">
      <c r="A197" s="21" t="s">
        <v>361</v>
      </c>
      <c r="B197" s="21" t="s">
        <v>112</v>
      </c>
      <c r="C197" s="21" t="s">
        <v>113</v>
      </c>
      <c r="D197" s="21" t="s">
        <v>137</v>
      </c>
      <c r="E197" s="22" t="n">
        <v>23.41</v>
      </c>
      <c r="F197" s="22" t="n">
        <v>50.61</v>
      </c>
      <c r="G197" s="23" t="n">
        <v>114</v>
      </c>
      <c r="H197" s="23" t="n">
        <v>99</v>
      </c>
      <c r="I197" s="23" t="n">
        <f aca="false">G197-H197</f>
        <v>15</v>
      </c>
      <c r="J197" s="21" t="str">
        <f aca="false">IF(I197&lt;50,"LOW-IN-STOCK","IN-STOCK")</f>
        <v>LOW-IN-STOCK</v>
      </c>
      <c r="K197" s="22" t="n">
        <f aca="false">E197*G197</f>
        <v>2668.74</v>
      </c>
      <c r="L197" s="22" t="n">
        <f aca="false">F197*H197</f>
        <v>5010.39</v>
      </c>
      <c r="M197" s="22" t="n">
        <f aca="false">L197-K197</f>
        <v>2341.65</v>
      </c>
    </row>
    <row r="198" customFormat="false" ht="15" hidden="false" customHeight="false" outlineLevel="0" collapsed="false">
      <c r="A198" s="21" t="s">
        <v>362</v>
      </c>
      <c r="B198" s="21" t="s">
        <v>195</v>
      </c>
      <c r="C198" s="21" t="s">
        <v>79</v>
      </c>
      <c r="D198" s="21" t="s">
        <v>114</v>
      </c>
      <c r="E198" s="22" t="n">
        <v>16.94</v>
      </c>
      <c r="F198" s="22" t="n">
        <v>22.83</v>
      </c>
      <c r="G198" s="23" t="n">
        <v>460</v>
      </c>
      <c r="H198" s="23" t="n">
        <v>67</v>
      </c>
      <c r="I198" s="23" t="n">
        <f aca="false">G198-H198</f>
        <v>393</v>
      </c>
      <c r="J198" s="21" t="str">
        <f aca="false">IF(I198&lt;50,"LOW-IN-STOCK","IN-STOCK")</f>
        <v>IN-STOCK</v>
      </c>
      <c r="K198" s="22" t="n">
        <f aca="false">E198*G198</f>
        <v>7792.4</v>
      </c>
      <c r="L198" s="22" t="n">
        <f aca="false">F198*H198</f>
        <v>1529.61</v>
      </c>
      <c r="M198" s="22" t="n">
        <f aca="false">L198-K198</f>
        <v>-6262.79</v>
      </c>
    </row>
    <row r="199" customFormat="false" ht="15" hidden="false" customHeight="false" outlineLevel="0" collapsed="false">
      <c r="A199" s="21" t="s">
        <v>363</v>
      </c>
      <c r="B199" s="21" t="s">
        <v>289</v>
      </c>
      <c r="C199" s="21" t="s">
        <v>148</v>
      </c>
      <c r="D199" s="21" t="s">
        <v>84</v>
      </c>
      <c r="E199" s="22" t="n">
        <v>55.07</v>
      </c>
      <c r="F199" s="22" t="n">
        <v>119.6</v>
      </c>
      <c r="G199" s="23" t="n">
        <v>124</v>
      </c>
      <c r="H199" s="23" t="n">
        <v>69</v>
      </c>
      <c r="I199" s="23" t="n">
        <f aca="false">G199-H199</f>
        <v>55</v>
      </c>
      <c r="J199" s="21" t="str">
        <f aca="false">IF(I199&lt;50,"LOW-IN-STOCK","IN-STOCK")</f>
        <v>IN-STOCK</v>
      </c>
      <c r="K199" s="22" t="n">
        <f aca="false">E199*G199</f>
        <v>6828.68</v>
      </c>
      <c r="L199" s="22" t="n">
        <f aca="false">F199*H199</f>
        <v>8252.4</v>
      </c>
      <c r="M199" s="22" t="n">
        <f aca="false">L199-K199</f>
        <v>1423.72</v>
      </c>
    </row>
    <row r="200" customFormat="false" ht="15" hidden="false" customHeight="false" outlineLevel="0" collapsed="false">
      <c r="A200" s="21" t="s">
        <v>364</v>
      </c>
      <c r="B200" s="21" t="s">
        <v>179</v>
      </c>
      <c r="C200" s="21" t="s">
        <v>93</v>
      </c>
      <c r="D200" s="21" t="s">
        <v>102</v>
      </c>
      <c r="E200" s="22" t="n">
        <v>3.04</v>
      </c>
      <c r="F200" s="22" t="n">
        <v>6.23</v>
      </c>
      <c r="G200" s="23" t="n">
        <v>455</v>
      </c>
      <c r="H200" s="23" t="n">
        <v>114</v>
      </c>
      <c r="I200" s="23" t="n">
        <f aca="false">G200-H200</f>
        <v>341</v>
      </c>
      <c r="J200" s="21" t="str">
        <f aca="false">IF(I200&lt;50,"LOW-IN-STOCK","IN-STOCK")</f>
        <v>IN-STOCK</v>
      </c>
      <c r="K200" s="22" t="n">
        <f aca="false">E200*G200</f>
        <v>1383.2</v>
      </c>
      <c r="L200" s="22" t="n">
        <f aca="false">F200*H200</f>
        <v>710.22</v>
      </c>
      <c r="M200" s="22" t="n">
        <f aca="false">L200-K200</f>
        <v>-672.98</v>
      </c>
    </row>
    <row r="201" customFormat="false" ht="15" hidden="false" customHeight="false" outlineLevel="0" collapsed="false">
      <c r="A201" s="21" t="s">
        <v>365</v>
      </c>
      <c r="B201" s="21" t="s">
        <v>332</v>
      </c>
      <c r="C201" s="21" t="s">
        <v>107</v>
      </c>
      <c r="D201" s="21" t="s">
        <v>99</v>
      </c>
      <c r="E201" s="22" t="n">
        <v>1.36</v>
      </c>
      <c r="F201" s="22" t="n">
        <v>2.39</v>
      </c>
      <c r="G201" s="23" t="n">
        <v>378</v>
      </c>
      <c r="H201" s="23" t="n">
        <v>133</v>
      </c>
      <c r="I201" s="23" t="n">
        <f aca="false">G201-H201</f>
        <v>245</v>
      </c>
      <c r="J201" s="21" t="str">
        <f aca="false">IF(I201&lt;50,"LOW-IN-STOCK","IN-STOCK")</f>
        <v>IN-STOCK</v>
      </c>
      <c r="K201" s="22" t="n">
        <f aca="false">E201*G201</f>
        <v>514.08</v>
      </c>
      <c r="L201" s="22" t="n">
        <f aca="false">F201*H201</f>
        <v>317.87</v>
      </c>
      <c r="M201" s="22" t="n">
        <f aca="false">L201-K201</f>
        <v>-196.21</v>
      </c>
    </row>
    <row r="202" customFormat="false" ht="15" hidden="false" customHeight="false" outlineLevel="0" collapsed="false">
      <c r="A202" s="21" t="s">
        <v>366</v>
      </c>
      <c r="B202" s="21" t="s">
        <v>179</v>
      </c>
      <c r="C202" s="21" t="s">
        <v>93</v>
      </c>
      <c r="D202" s="21" t="s">
        <v>76</v>
      </c>
      <c r="E202" s="22" t="n">
        <v>4.05</v>
      </c>
      <c r="F202" s="22" t="n">
        <v>8.64</v>
      </c>
      <c r="G202" s="23" t="n">
        <v>45</v>
      </c>
      <c r="H202" s="23" t="n">
        <v>23</v>
      </c>
      <c r="I202" s="23" t="n">
        <f aca="false">G202-H202</f>
        <v>22</v>
      </c>
      <c r="J202" s="21" t="str">
        <f aca="false">IF(I202&lt;50,"LOW-IN-STOCK","IN-STOCK")</f>
        <v>LOW-IN-STOCK</v>
      </c>
      <c r="K202" s="22" t="n">
        <f aca="false">E202*G202</f>
        <v>182.25</v>
      </c>
      <c r="L202" s="22" t="n">
        <f aca="false">F202*H202</f>
        <v>198.72</v>
      </c>
      <c r="M202" s="22" t="n">
        <f aca="false">L202-K202</f>
        <v>16.47</v>
      </c>
    </row>
    <row r="203" customFormat="false" ht="15" hidden="false" customHeight="false" outlineLevel="0" collapsed="false">
      <c r="A203" s="21" t="s">
        <v>367</v>
      </c>
      <c r="B203" s="21" t="s">
        <v>188</v>
      </c>
      <c r="C203" s="21" t="s">
        <v>113</v>
      </c>
      <c r="D203" s="21" t="s">
        <v>84</v>
      </c>
      <c r="E203" s="22" t="n">
        <v>13.72</v>
      </c>
      <c r="F203" s="22" t="n">
        <v>27.54</v>
      </c>
      <c r="G203" s="23" t="n">
        <v>188</v>
      </c>
      <c r="H203" s="23" t="n">
        <v>52</v>
      </c>
      <c r="I203" s="23" t="n">
        <f aca="false">G203-H203</f>
        <v>136</v>
      </c>
      <c r="J203" s="21" t="str">
        <f aca="false">IF(I203&lt;50,"LOW-IN-STOCK","IN-STOCK")</f>
        <v>IN-STOCK</v>
      </c>
      <c r="K203" s="22" t="n">
        <f aca="false">E203*G203</f>
        <v>2579.36</v>
      </c>
      <c r="L203" s="22" t="n">
        <f aca="false">F203*H203</f>
        <v>1432.08</v>
      </c>
      <c r="M203" s="22" t="n">
        <f aca="false">L203-K203</f>
        <v>-1147.28</v>
      </c>
    </row>
    <row r="204" customFormat="false" ht="15" hidden="false" customHeight="false" outlineLevel="0" collapsed="false">
      <c r="A204" s="21" t="s">
        <v>368</v>
      </c>
      <c r="B204" s="21" t="s">
        <v>319</v>
      </c>
      <c r="C204" s="21" t="s">
        <v>113</v>
      </c>
      <c r="D204" s="21" t="s">
        <v>80</v>
      </c>
      <c r="E204" s="22" t="n">
        <v>31.92</v>
      </c>
      <c r="F204" s="22" t="n">
        <v>55.96</v>
      </c>
      <c r="G204" s="23" t="n">
        <v>66</v>
      </c>
      <c r="H204" s="23" t="n">
        <v>9</v>
      </c>
      <c r="I204" s="23" t="n">
        <f aca="false">G204-H204</f>
        <v>57</v>
      </c>
      <c r="J204" s="21" t="str">
        <f aca="false">IF(I204&lt;50,"LOW-IN-STOCK","IN-STOCK")</f>
        <v>IN-STOCK</v>
      </c>
      <c r="K204" s="22" t="n">
        <f aca="false">E204*G204</f>
        <v>2106.72</v>
      </c>
      <c r="L204" s="22" t="n">
        <f aca="false">F204*H204</f>
        <v>503.64</v>
      </c>
      <c r="M204" s="22" t="n">
        <f aca="false">L204-K204</f>
        <v>-1603.08</v>
      </c>
    </row>
    <row r="205" customFormat="false" ht="15" hidden="false" customHeight="false" outlineLevel="0" collapsed="false">
      <c r="A205" s="21" t="s">
        <v>369</v>
      </c>
      <c r="B205" s="21" t="s">
        <v>246</v>
      </c>
      <c r="C205" s="21" t="s">
        <v>75</v>
      </c>
      <c r="D205" s="21" t="s">
        <v>88</v>
      </c>
      <c r="E205" s="22" t="n">
        <v>12.14</v>
      </c>
      <c r="F205" s="22" t="n">
        <v>21.42</v>
      </c>
      <c r="G205" s="23" t="n">
        <v>241</v>
      </c>
      <c r="H205" s="23" t="n">
        <v>227</v>
      </c>
      <c r="I205" s="23" t="n">
        <f aca="false">G205-H205</f>
        <v>14</v>
      </c>
      <c r="J205" s="21" t="str">
        <f aca="false">IF(I205&lt;50,"LOW-IN-STOCK","IN-STOCK")</f>
        <v>LOW-IN-STOCK</v>
      </c>
      <c r="K205" s="22" t="n">
        <f aca="false">E205*G205</f>
        <v>2925.74</v>
      </c>
      <c r="L205" s="22" t="n">
        <f aca="false">F205*H205</f>
        <v>4862.34</v>
      </c>
      <c r="M205" s="22" t="n">
        <f aca="false">L205-K205</f>
        <v>1936.6</v>
      </c>
    </row>
    <row r="206" customFormat="false" ht="15" hidden="false" customHeight="false" outlineLevel="0" collapsed="false">
      <c r="A206" s="21" t="s">
        <v>370</v>
      </c>
      <c r="B206" s="21" t="s">
        <v>152</v>
      </c>
      <c r="C206" s="21" t="s">
        <v>87</v>
      </c>
      <c r="D206" s="21" t="s">
        <v>160</v>
      </c>
      <c r="E206" s="22" t="n">
        <v>13.63</v>
      </c>
      <c r="F206" s="22" t="n">
        <v>28.57</v>
      </c>
      <c r="G206" s="23" t="n">
        <v>102</v>
      </c>
      <c r="H206" s="23" t="n">
        <v>46</v>
      </c>
      <c r="I206" s="23" t="n">
        <f aca="false">G206-H206</f>
        <v>56</v>
      </c>
      <c r="J206" s="21" t="str">
        <f aca="false">IF(I206&lt;50,"LOW-IN-STOCK","IN-STOCK")</f>
        <v>IN-STOCK</v>
      </c>
      <c r="K206" s="22" t="n">
        <f aca="false">E206*G206</f>
        <v>1390.26</v>
      </c>
      <c r="L206" s="22" t="n">
        <f aca="false">F206*H206</f>
        <v>1314.22</v>
      </c>
      <c r="M206" s="22" t="n">
        <f aca="false">L206-K206</f>
        <v>-76.04</v>
      </c>
    </row>
    <row r="207" customFormat="false" ht="15" hidden="false" customHeight="false" outlineLevel="0" collapsed="false">
      <c r="A207" s="21" t="s">
        <v>371</v>
      </c>
      <c r="B207" s="21" t="s">
        <v>126</v>
      </c>
      <c r="C207" s="21" t="s">
        <v>79</v>
      </c>
      <c r="D207" s="21" t="s">
        <v>84</v>
      </c>
      <c r="E207" s="22" t="n">
        <v>2.42</v>
      </c>
      <c r="F207" s="22" t="n">
        <v>3.59</v>
      </c>
      <c r="G207" s="23" t="n">
        <v>224</v>
      </c>
      <c r="H207" s="23" t="n">
        <v>186</v>
      </c>
      <c r="I207" s="23" t="n">
        <f aca="false">G207-H207</f>
        <v>38</v>
      </c>
      <c r="J207" s="21" t="str">
        <f aca="false">IF(I207&lt;50,"LOW-IN-STOCK","IN-STOCK")</f>
        <v>LOW-IN-STOCK</v>
      </c>
      <c r="K207" s="22" t="n">
        <f aca="false">E207*G207</f>
        <v>542.08</v>
      </c>
      <c r="L207" s="22" t="n">
        <f aca="false">F207*H207</f>
        <v>667.74</v>
      </c>
      <c r="M207" s="22" t="n">
        <f aca="false">L207-K207</f>
        <v>125.66</v>
      </c>
    </row>
    <row r="208" customFormat="false" ht="15" hidden="false" customHeight="false" outlineLevel="0" collapsed="false">
      <c r="A208" s="21" t="s">
        <v>372</v>
      </c>
      <c r="B208" s="21" t="s">
        <v>126</v>
      </c>
      <c r="C208" s="21" t="s">
        <v>79</v>
      </c>
      <c r="D208" s="21" t="s">
        <v>76</v>
      </c>
      <c r="E208" s="22" t="n">
        <v>15.63</v>
      </c>
      <c r="F208" s="22" t="n">
        <v>32.2</v>
      </c>
      <c r="G208" s="23" t="n">
        <v>432</v>
      </c>
      <c r="H208" s="23" t="n">
        <v>281</v>
      </c>
      <c r="I208" s="23" t="n">
        <f aca="false">G208-H208</f>
        <v>151</v>
      </c>
      <c r="J208" s="21" t="str">
        <f aca="false">IF(I208&lt;50,"LOW-IN-STOCK","IN-STOCK")</f>
        <v>IN-STOCK</v>
      </c>
      <c r="K208" s="22" t="n">
        <f aca="false">E208*G208</f>
        <v>6752.16</v>
      </c>
      <c r="L208" s="22" t="n">
        <f aca="false">F208*H208</f>
        <v>9048.2</v>
      </c>
      <c r="M208" s="22" t="n">
        <f aca="false">L208-K208</f>
        <v>2296.04</v>
      </c>
    </row>
    <row r="209" customFormat="false" ht="15" hidden="false" customHeight="false" outlineLevel="0" collapsed="false">
      <c r="A209" s="21" t="s">
        <v>373</v>
      </c>
      <c r="B209" s="21" t="s">
        <v>95</v>
      </c>
      <c r="C209" s="21" t="s">
        <v>75</v>
      </c>
      <c r="D209" s="21" t="s">
        <v>84</v>
      </c>
      <c r="E209" s="22" t="n">
        <v>25.19</v>
      </c>
      <c r="F209" s="22" t="n">
        <v>43.52</v>
      </c>
      <c r="G209" s="23" t="n">
        <v>299</v>
      </c>
      <c r="H209" s="23" t="n">
        <v>115</v>
      </c>
      <c r="I209" s="23" t="n">
        <f aca="false">G209-H209</f>
        <v>184</v>
      </c>
      <c r="J209" s="21" t="str">
        <f aca="false">IF(I209&lt;50,"LOW-IN-STOCK","IN-STOCK")</f>
        <v>IN-STOCK</v>
      </c>
      <c r="K209" s="22" t="n">
        <f aca="false">E209*G209</f>
        <v>7531.81</v>
      </c>
      <c r="L209" s="22" t="n">
        <f aca="false">F209*H209</f>
        <v>5004.8</v>
      </c>
      <c r="M209" s="22" t="n">
        <f aca="false">L209-K209</f>
        <v>-2527.01</v>
      </c>
    </row>
    <row r="210" customFormat="false" ht="15" hidden="false" customHeight="false" outlineLevel="0" collapsed="false">
      <c r="A210" s="21" t="s">
        <v>374</v>
      </c>
      <c r="B210" s="21" t="s">
        <v>112</v>
      </c>
      <c r="C210" s="21" t="s">
        <v>113</v>
      </c>
      <c r="D210" s="21" t="s">
        <v>114</v>
      </c>
      <c r="E210" s="22" t="n">
        <v>9.05</v>
      </c>
      <c r="F210" s="22" t="n">
        <v>19.35</v>
      </c>
      <c r="G210" s="23" t="n">
        <v>147</v>
      </c>
      <c r="H210" s="23" t="n">
        <v>134</v>
      </c>
      <c r="I210" s="23" t="n">
        <f aca="false">G210-H210</f>
        <v>13</v>
      </c>
      <c r="J210" s="21" t="str">
        <f aca="false">IF(I210&lt;50,"LOW-IN-STOCK","IN-STOCK")</f>
        <v>LOW-IN-STOCK</v>
      </c>
      <c r="K210" s="22" t="n">
        <f aca="false">E210*G210</f>
        <v>1330.35</v>
      </c>
      <c r="L210" s="22" t="n">
        <f aca="false">F210*H210</f>
        <v>2592.9</v>
      </c>
      <c r="M210" s="22" t="n">
        <f aca="false">L210-K210</f>
        <v>1262.55</v>
      </c>
    </row>
    <row r="211" customFormat="false" ht="15" hidden="false" customHeight="false" outlineLevel="0" collapsed="false">
      <c r="A211" s="21" t="s">
        <v>375</v>
      </c>
      <c r="B211" s="21" t="s">
        <v>157</v>
      </c>
      <c r="C211" s="21" t="s">
        <v>113</v>
      </c>
      <c r="D211" s="21" t="s">
        <v>160</v>
      </c>
      <c r="E211" s="22" t="n">
        <v>6.24</v>
      </c>
      <c r="F211" s="22" t="n">
        <v>10.22</v>
      </c>
      <c r="G211" s="23" t="n">
        <v>170</v>
      </c>
      <c r="H211" s="23" t="n">
        <v>25</v>
      </c>
      <c r="I211" s="23" t="n">
        <f aca="false">G211-H211</f>
        <v>145</v>
      </c>
      <c r="J211" s="21" t="str">
        <f aca="false">IF(I211&lt;50,"LOW-IN-STOCK","IN-STOCK")</f>
        <v>IN-STOCK</v>
      </c>
      <c r="K211" s="22" t="n">
        <f aca="false">E211*G211</f>
        <v>1060.8</v>
      </c>
      <c r="L211" s="22" t="n">
        <f aca="false">F211*H211</f>
        <v>255.5</v>
      </c>
      <c r="M211" s="22" t="n">
        <f aca="false">L211-K211</f>
        <v>-805.3</v>
      </c>
    </row>
    <row r="212" customFormat="false" ht="15" hidden="false" customHeight="false" outlineLevel="0" collapsed="false">
      <c r="A212" s="21" t="s">
        <v>376</v>
      </c>
      <c r="B212" s="21" t="s">
        <v>152</v>
      </c>
      <c r="C212" s="21" t="s">
        <v>87</v>
      </c>
      <c r="D212" s="21" t="s">
        <v>76</v>
      </c>
      <c r="E212" s="22" t="n">
        <v>13.6</v>
      </c>
      <c r="F212" s="22" t="n">
        <v>27.16</v>
      </c>
      <c r="G212" s="23" t="n">
        <v>54</v>
      </c>
      <c r="H212" s="23" t="n">
        <v>33</v>
      </c>
      <c r="I212" s="23" t="n">
        <f aca="false">G212-H212</f>
        <v>21</v>
      </c>
      <c r="J212" s="21" t="str">
        <f aca="false">IF(I212&lt;50,"LOW-IN-STOCK","IN-STOCK")</f>
        <v>LOW-IN-STOCK</v>
      </c>
      <c r="K212" s="22" t="n">
        <f aca="false">E212*G212</f>
        <v>734.4</v>
      </c>
      <c r="L212" s="22" t="n">
        <f aca="false">F212*H212</f>
        <v>896.28</v>
      </c>
      <c r="M212" s="22" t="n">
        <f aca="false">L212-K212</f>
        <v>161.88</v>
      </c>
    </row>
    <row r="213" customFormat="false" ht="15" hidden="false" customHeight="false" outlineLevel="0" collapsed="false">
      <c r="A213" s="21" t="s">
        <v>377</v>
      </c>
      <c r="B213" s="21" t="s">
        <v>179</v>
      </c>
      <c r="C213" s="21" t="s">
        <v>93</v>
      </c>
      <c r="D213" s="21" t="s">
        <v>99</v>
      </c>
      <c r="E213" s="22" t="n">
        <v>10.79</v>
      </c>
      <c r="F213" s="22" t="n">
        <v>20.77</v>
      </c>
      <c r="G213" s="23" t="n">
        <v>76</v>
      </c>
      <c r="H213" s="23" t="n">
        <v>47</v>
      </c>
      <c r="I213" s="23" t="n">
        <f aca="false">G213-H213</f>
        <v>29</v>
      </c>
      <c r="J213" s="21" t="str">
        <f aca="false">IF(I213&lt;50,"LOW-IN-STOCK","IN-STOCK")</f>
        <v>LOW-IN-STOCK</v>
      </c>
      <c r="K213" s="22" t="n">
        <f aca="false">E213*G213</f>
        <v>820.04</v>
      </c>
      <c r="L213" s="22" t="n">
        <f aca="false">F213*H213</f>
        <v>976.19</v>
      </c>
      <c r="M213" s="22" t="n">
        <f aca="false">L213-K213</f>
        <v>156.15</v>
      </c>
    </row>
    <row r="214" customFormat="false" ht="15" hidden="false" customHeight="false" outlineLevel="0" collapsed="false">
      <c r="A214" s="21" t="s">
        <v>378</v>
      </c>
      <c r="B214" s="21" t="s">
        <v>147</v>
      </c>
      <c r="C214" s="21" t="s">
        <v>148</v>
      </c>
      <c r="D214" s="21" t="s">
        <v>108</v>
      </c>
      <c r="E214" s="22" t="n">
        <v>43.85</v>
      </c>
      <c r="F214" s="22" t="n">
        <v>72.8</v>
      </c>
      <c r="G214" s="23" t="n">
        <v>308</v>
      </c>
      <c r="H214" s="23" t="n">
        <v>212</v>
      </c>
      <c r="I214" s="23" t="n">
        <f aca="false">G214-H214</f>
        <v>96</v>
      </c>
      <c r="J214" s="21" t="str">
        <f aca="false">IF(I214&lt;50,"LOW-IN-STOCK","IN-STOCK")</f>
        <v>IN-STOCK</v>
      </c>
      <c r="K214" s="22" t="n">
        <f aca="false">E214*G214</f>
        <v>13505.8</v>
      </c>
      <c r="L214" s="22" t="n">
        <f aca="false">F214*H214</f>
        <v>15433.6</v>
      </c>
      <c r="M214" s="22" t="n">
        <f aca="false">L214-K214</f>
        <v>1927.8</v>
      </c>
    </row>
    <row r="215" customFormat="false" ht="15" hidden="false" customHeight="false" outlineLevel="0" collapsed="false">
      <c r="A215" s="21" t="s">
        <v>379</v>
      </c>
      <c r="B215" s="21" t="s">
        <v>246</v>
      </c>
      <c r="C215" s="21" t="s">
        <v>75</v>
      </c>
      <c r="D215" s="21" t="s">
        <v>102</v>
      </c>
      <c r="E215" s="22" t="n">
        <v>17.66</v>
      </c>
      <c r="F215" s="22" t="n">
        <v>27.3</v>
      </c>
      <c r="G215" s="23" t="n">
        <v>335</v>
      </c>
      <c r="H215" s="23" t="n">
        <v>126</v>
      </c>
      <c r="I215" s="23" t="n">
        <f aca="false">G215-H215</f>
        <v>209</v>
      </c>
      <c r="J215" s="21" t="str">
        <f aca="false">IF(I215&lt;50,"LOW-IN-STOCK","IN-STOCK")</f>
        <v>IN-STOCK</v>
      </c>
      <c r="K215" s="22" t="n">
        <f aca="false">E215*G215</f>
        <v>5916.1</v>
      </c>
      <c r="L215" s="22" t="n">
        <f aca="false">F215*H215</f>
        <v>3439.8</v>
      </c>
      <c r="M215" s="22" t="n">
        <f aca="false">L215-K215</f>
        <v>-2476.3</v>
      </c>
    </row>
    <row r="216" customFormat="false" ht="15" hidden="false" customHeight="false" outlineLevel="0" collapsed="false">
      <c r="A216" s="21" t="s">
        <v>380</v>
      </c>
      <c r="B216" s="21" t="s">
        <v>276</v>
      </c>
      <c r="C216" s="21" t="s">
        <v>83</v>
      </c>
      <c r="D216" s="21" t="s">
        <v>84</v>
      </c>
      <c r="E216" s="22" t="n">
        <v>11.9</v>
      </c>
      <c r="F216" s="22" t="n">
        <v>21.26</v>
      </c>
      <c r="G216" s="23" t="n">
        <v>441</v>
      </c>
      <c r="H216" s="23" t="n">
        <v>412</v>
      </c>
      <c r="I216" s="23" t="n">
        <f aca="false">G216-H216</f>
        <v>29</v>
      </c>
      <c r="J216" s="21" t="str">
        <f aca="false">IF(I216&lt;50,"LOW-IN-STOCK","IN-STOCK")</f>
        <v>LOW-IN-STOCK</v>
      </c>
      <c r="K216" s="22" t="n">
        <f aca="false">E216*G216</f>
        <v>5247.9</v>
      </c>
      <c r="L216" s="22" t="n">
        <f aca="false">F216*H216</f>
        <v>8759.12</v>
      </c>
      <c r="M216" s="22" t="n">
        <f aca="false">L216-K216</f>
        <v>3511.22</v>
      </c>
    </row>
    <row r="217" customFormat="false" ht="15" hidden="false" customHeight="false" outlineLevel="0" collapsed="false">
      <c r="A217" s="21" t="s">
        <v>381</v>
      </c>
      <c r="B217" s="21" t="s">
        <v>95</v>
      </c>
      <c r="C217" s="21" t="s">
        <v>75</v>
      </c>
      <c r="D217" s="21" t="s">
        <v>80</v>
      </c>
      <c r="E217" s="22" t="n">
        <v>5.35</v>
      </c>
      <c r="F217" s="22" t="n">
        <v>8.48</v>
      </c>
      <c r="G217" s="23" t="n">
        <v>423</v>
      </c>
      <c r="H217" s="23" t="n">
        <v>69</v>
      </c>
      <c r="I217" s="23" t="n">
        <f aca="false">G217-H217</f>
        <v>354</v>
      </c>
      <c r="J217" s="21" t="str">
        <f aca="false">IF(I217&lt;50,"LOW-IN-STOCK","IN-STOCK")</f>
        <v>IN-STOCK</v>
      </c>
      <c r="K217" s="22" t="n">
        <f aca="false">E217*G217</f>
        <v>2263.05</v>
      </c>
      <c r="L217" s="22" t="n">
        <f aca="false">F217*H217</f>
        <v>585.12</v>
      </c>
      <c r="M217" s="22" t="n">
        <f aca="false">L217-K217</f>
        <v>-1677.93</v>
      </c>
    </row>
    <row r="218" customFormat="false" ht="15" hidden="false" customHeight="false" outlineLevel="0" collapsed="false">
      <c r="A218" s="21" t="s">
        <v>382</v>
      </c>
      <c r="B218" s="21" t="s">
        <v>383</v>
      </c>
      <c r="C218" s="21" t="s">
        <v>87</v>
      </c>
      <c r="D218" s="21" t="s">
        <v>80</v>
      </c>
      <c r="E218" s="22" t="n">
        <v>14.17</v>
      </c>
      <c r="F218" s="22" t="n">
        <v>30.55</v>
      </c>
      <c r="G218" s="23" t="n">
        <v>356</v>
      </c>
      <c r="H218" s="23" t="n">
        <v>242</v>
      </c>
      <c r="I218" s="23" t="n">
        <f aca="false">G218-H218</f>
        <v>114</v>
      </c>
      <c r="J218" s="21" t="str">
        <f aca="false">IF(I218&lt;50,"LOW-IN-STOCK","IN-STOCK")</f>
        <v>IN-STOCK</v>
      </c>
      <c r="K218" s="22" t="n">
        <f aca="false">E218*G218</f>
        <v>5044.52</v>
      </c>
      <c r="L218" s="22" t="n">
        <f aca="false">F218*H218</f>
        <v>7393.1</v>
      </c>
      <c r="M218" s="22" t="n">
        <f aca="false">L218-K218</f>
        <v>2348.58</v>
      </c>
    </row>
    <row r="219" customFormat="false" ht="15" hidden="false" customHeight="false" outlineLevel="0" collapsed="false">
      <c r="A219" s="21" t="s">
        <v>384</v>
      </c>
      <c r="B219" s="21" t="s">
        <v>209</v>
      </c>
      <c r="C219" s="21" t="s">
        <v>107</v>
      </c>
      <c r="D219" s="21" t="s">
        <v>102</v>
      </c>
      <c r="E219" s="22" t="n">
        <v>13.98</v>
      </c>
      <c r="F219" s="22" t="n">
        <v>27.04</v>
      </c>
      <c r="G219" s="23" t="n">
        <v>434</v>
      </c>
      <c r="H219" s="23" t="n">
        <v>88</v>
      </c>
      <c r="I219" s="23" t="n">
        <f aca="false">G219-H219</f>
        <v>346</v>
      </c>
      <c r="J219" s="21" t="str">
        <f aca="false">IF(I219&lt;50,"LOW-IN-STOCK","IN-STOCK")</f>
        <v>IN-STOCK</v>
      </c>
      <c r="K219" s="22" t="n">
        <f aca="false">E219*G219</f>
        <v>6067.32</v>
      </c>
      <c r="L219" s="22" t="n">
        <f aca="false">F219*H219</f>
        <v>2379.52</v>
      </c>
      <c r="M219" s="22" t="n">
        <f aca="false">L219-K219</f>
        <v>-3687.8</v>
      </c>
    </row>
    <row r="220" customFormat="false" ht="15" hidden="false" customHeight="false" outlineLevel="0" collapsed="false">
      <c r="A220" s="21" t="s">
        <v>385</v>
      </c>
      <c r="B220" s="21" t="s">
        <v>195</v>
      </c>
      <c r="C220" s="21" t="s">
        <v>79</v>
      </c>
      <c r="D220" s="21" t="s">
        <v>99</v>
      </c>
      <c r="E220" s="22" t="n">
        <v>12.6</v>
      </c>
      <c r="F220" s="22" t="n">
        <v>24.52</v>
      </c>
      <c r="G220" s="23" t="n">
        <v>351</v>
      </c>
      <c r="H220" s="23" t="n">
        <v>124</v>
      </c>
      <c r="I220" s="23" t="n">
        <f aca="false">G220-H220</f>
        <v>227</v>
      </c>
      <c r="J220" s="21" t="str">
        <f aca="false">IF(I220&lt;50,"LOW-IN-STOCK","IN-STOCK")</f>
        <v>IN-STOCK</v>
      </c>
      <c r="K220" s="22" t="n">
        <f aca="false">E220*G220</f>
        <v>4422.6</v>
      </c>
      <c r="L220" s="22" t="n">
        <f aca="false">F220*H220</f>
        <v>3040.48</v>
      </c>
      <c r="M220" s="22" t="n">
        <f aca="false">L220-K220</f>
        <v>-1382.12</v>
      </c>
    </row>
    <row r="221" customFormat="false" ht="15" hidden="false" customHeight="false" outlineLevel="0" collapsed="false">
      <c r="A221" s="21" t="s">
        <v>386</v>
      </c>
      <c r="B221" s="21" t="s">
        <v>141</v>
      </c>
      <c r="C221" s="21" t="s">
        <v>107</v>
      </c>
      <c r="D221" s="21" t="s">
        <v>102</v>
      </c>
      <c r="E221" s="22" t="n">
        <v>3.87</v>
      </c>
      <c r="F221" s="22" t="n">
        <v>6.11</v>
      </c>
      <c r="G221" s="23" t="n">
        <v>159</v>
      </c>
      <c r="H221" s="23" t="n">
        <v>138</v>
      </c>
      <c r="I221" s="23" t="n">
        <f aca="false">G221-H221</f>
        <v>21</v>
      </c>
      <c r="J221" s="21" t="str">
        <f aca="false">IF(I221&lt;50,"LOW-IN-STOCK","IN-STOCK")</f>
        <v>LOW-IN-STOCK</v>
      </c>
      <c r="K221" s="22" t="n">
        <f aca="false">E221*G221</f>
        <v>615.33</v>
      </c>
      <c r="L221" s="22" t="n">
        <f aca="false">F221*H221</f>
        <v>843.18</v>
      </c>
      <c r="M221" s="22" t="n">
        <f aca="false">L221-K221</f>
        <v>227.85</v>
      </c>
    </row>
    <row r="222" customFormat="false" ht="15" hidden="false" customHeight="false" outlineLevel="0" collapsed="false">
      <c r="A222" s="21" t="s">
        <v>387</v>
      </c>
      <c r="B222" s="21" t="s">
        <v>154</v>
      </c>
      <c r="C222" s="21" t="s">
        <v>93</v>
      </c>
      <c r="D222" s="21" t="s">
        <v>102</v>
      </c>
      <c r="E222" s="22" t="n">
        <v>8.92</v>
      </c>
      <c r="F222" s="22" t="n">
        <v>16.2</v>
      </c>
      <c r="G222" s="23" t="n">
        <v>193</v>
      </c>
      <c r="H222" s="23" t="n">
        <v>88</v>
      </c>
      <c r="I222" s="23" t="n">
        <f aca="false">G222-H222</f>
        <v>105</v>
      </c>
      <c r="J222" s="21" t="str">
        <f aca="false">IF(I222&lt;50,"LOW-IN-STOCK","IN-STOCK")</f>
        <v>IN-STOCK</v>
      </c>
      <c r="K222" s="22" t="n">
        <f aca="false">E222*G222</f>
        <v>1721.56</v>
      </c>
      <c r="L222" s="22" t="n">
        <f aca="false">F222*H222</f>
        <v>1425.6</v>
      </c>
      <c r="M222" s="22" t="n">
        <f aca="false">L222-K222</f>
        <v>-295.96</v>
      </c>
    </row>
    <row r="223" customFormat="false" ht="15" hidden="false" customHeight="false" outlineLevel="0" collapsed="false">
      <c r="A223" s="21" t="s">
        <v>388</v>
      </c>
      <c r="B223" s="21" t="s">
        <v>246</v>
      </c>
      <c r="C223" s="21" t="s">
        <v>75</v>
      </c>
      <c r="D223" s="21" t="s">
        <v>160</v>
      </c>
      <c r="E223" s="22" t="n">
        <v>22.08</v>
      </c>
      <c r="F223" s="22" t="n">
        <v>34.72</v>
      </c>
      <c r="G223" s="23" t="n">
        <v>69</v>
      </c>
      <c r="H223" s="23" t="n">
        <v>58</v>
      </c>
      <c r="I223" s="23" t="n">
        <f aca="false">G223-H223</f>
        <v>11</v>
      </c>
      <c r="J223" s="21" t="str">
        <f aca="false">IF(I223&lt;50,"LOW-IN-STOCK","IN-STOCK")</f>
        <v>LOW-IN-STOCK</v>
      </c>
      <c r="K223" s="22" t="n">
        <f aca="false">E223*G223</f>
        <v>1523.52</v>
      </c>
      <c r="L223" s="22" t="n">
        <f aca="false">F223*H223</f>
        <v>2013.76</v>
      </c>
      <c r="M223" s="22" t="n">
        <f aca="false">L223-K223</f>
        <v>490.24</v>
      </c>
    </row>
    <row r="224" customFormat="false" ht="15" hidden="false" customHeight="false" outlineLevel="0" collapsed="false">
      <c r="A224" s="21" t="s">
        <v>389</v>
      </c>
      <c r="B224" s="21" t="s">
        <v>150</v>
      </c>
      <c r="C224" s="21" t="s">
        <v>148</v>
      </c>
      <c r="D224" s="21" t="s">
        <v>137</v>
      </c>
      <c r="E224" s="22" t="n">
        <v>49.63</v>
      </c>
      <c r="F224" s="22" t="n">
        <v>73.86</v>
      </c>
      <c r="G224" s="23" t="n">
        <v>107</v>
      </c>
      <c r="H224" s="23" t="n">
        <v>59</v>
      </c>
      <c r="I224" s="23" t="n">
        <f aca="false">G224-H224</f>
        <v>48</v>
      </c>
      <c r="J224" s="21" t="str">
        <f aca="false">IF(I224&lt;50,"LOW-IN-STOCK","IN-STOCK")</f>
        <v>LOW-IN-STOCK</v>
      </c>
      <c r="K224" s="22" t="n">
        <f aca="false">E224*G224</f>
        <v>5310.41</v>
      </c>
      <c r="L224" s="22" t="n">
        <f aca="false">F224*H224</f>
        <v>4357.74</v>
      </c>
      <c r="M224" s="22" t="n">
        <f aca="false">L224-K224</f>
        <v>-952.67</v>
      </c>
    </row>
    <row r="225" customFormat="false" ht="15" hidden="false" customHeight="false" outlineLevel="0" collapsed="false">
      <c r="A225" s="21" t="s">
        <v>390</v>
      </c>
      <c r="B225" s="21" t="s">
        <v>90</v>
      </c>
      <c r="C225" s="21" t="s">
        <v>75</v>
      </c>
      <c r="D225" s="21" t="s">
        <v>80</v>
      </c>
      <c r="E225" s="22" t="n">
        <v>4.31</v>
      </c>
      <c r="F225" s="22" t="n">
        <v>7.43</v>
      </c>
      <c r="G225" s="23" t="n">
        <v>390</v>
      </c>
      <c r="H225" s="23" t="n">
        <v>129</v>
      </c>
      <c r="I225" s="23" t="n">
        <f aca="false">G225-H225</f>
        <v>261</v>
      </c>
      <c r="J225" s="21" t="str">
        <f aca="false">IF(I225&lt;50,"LOW-IN-STOCK","IN-STOCK")</f>
        <v>IN-STOCK</v>
      </c>
      <c r="K225" s="22" t="n">
        <f aca="false">E225*G225</f>
        <v>1680.9</v>
      </c>
      <c r="L225" s="22" t="n">
        <f aca="false">F225*H225</f>
        <v>958.47</v>
      </c>
      <c r="M225" s="22" t="n">
        <f aca="false">L225-K225</f>
        <v>-722.43</v>
      </c>
    </row>
    <row r="226" customFormat="false" ht="15" hidden="false" customHeight="false" outlineLevel="0" collapsed="false">
      <c r="A226" s="21" t="s">
        <v>391</v>
      </c>
      <c r="B226" s="21" t="s">
        <v>276</v>
      </c>
      <c r="C226" s="21" t="s">
        <v>83</v>
      </c>
      <c r="D226" s="21" t="s">
        <v>160</v>
      </c>
      <c r="E226" s="22" t="n">
        <v>8.34</v>
      </c>
      <c r="F226" s="22" t="n">
        <v>15.23</v>
      </c>
      <c r="G226" s="23" t="n">
        <v>327</v>
      </c>
      <c r="H226" s="23" t="n">
        <v>269</v>
      </c>
      <c r="I226" s="23" t="n">
        <f aca="false">G226-H226</f>
        <v>58</v>
      </c>
      <c r="J226" s="21" t="str">
        <f aca="false">IF(I226&lt;50,"LOW-IN-STOCK","IN-STOCK")</f>
        <v>IN-STOCK</v>
      </c>
      <c r="K226" s="22" t="n">
        <f aca="false">E226*G226</f>
        <v>2727.18</v>
      </c>
      <c r="L226" s="22" t="n">
        <f aca="false">F226*H226</f>
        <v>4096.87</v>
      </c>
      <c r="M226" s="22" t="n">
        <f aca="false">L226-K226</f>
        <v>1369.69</v>
      </c>
    </row>
    <row r="227" customFormat="false" ht="15" hidden="false" customHeight="false" outlineLevel="0" collapsed="false">
      <c r="A227" s="21" t="s">
        <v>392</v>
      </c>
      <c r="B227" s="21" t="s">
        <v>152</v>
      </c>
      <c r="C227" s="21" t="s">
        <v>87</v>
      </c>
      <c r="D227" s="21" t="s">
        <v>84</v>
      </c>
      <c r="E227" s="22" t="n">
        <v>15.74</v>
      </c>
      <c r="F227" s="22" t="n">
        <v>27.96</v>
      </c>
      <c r="G227" s="23" t="n">
        <v>171</v>
      </c>
      <c r="H227" s="23" t="n">
        <v>157</v>
      </c>
      <c r="I227" s="23" t="n">
        <f aca="false">G227-H227</f>
        <v>14</v>
      </c>
      <c r="J227" s="21" t="str">
        <f aca="false">IF(I227&lt;50,"LOW-IN-STOCK","IN-STOCK")</f>
        <v>LOW-IN-STOCK</v>
      </c>
      <c r="K227" s="22" t="n">
        <f aca="false">E227*G227</f>
        <v>2691.54</v>
      </c>
      <c r="L227" s="22" t="n">
        <f aca="false">F227*H227</f>
        <v>4389.72</v>
      </c>
      <c r="M227" s="22" t="n">
        <f aca="false">L227-K227</f>
        <v>1698.18</v>
      </c>
    </row>
    <row r="228" customFormat="false" ht="15" hidden="false" customHeight="false" outlineLevel="0" collapsed="false">
      <c r="A228" s="21" t="s">
        <v>393</v>
      </c>
      <c r="B228" s="21" t="s">
        <v>235</v>
      </c>
      <c r="C228" s="21" t="s">
        <v>148</v>
      </c>
      <c r="D228" s="21" t="s">
        <v>84</v>
      </c>
      <c r="E228" s="22" t="n">
        <v>57.8</v>
      </c>
      <c r="F228" s="22" t="n">
        <v>87.89</v>
      </c>
      <c r="G228" s="23" t="n">
        <v>163</v>
      </c>
      <c r="H228" s="23" t="n">
        <v>31</v>
      </c>
      <c r="I228" s="23" t="n">
        <f aca="false">G228-H228</f>
        <v>132</v>
      </c>
      <c r="J228" s="21" t="str">
        <f aca="false">IF(I228&lt;50,"LOW-IN-STOCK","IN-STOCK")</f>
        <v>IN-STOCK</v>
      </c>
      <c r="K228" s="22" t="n">
        <f aca="false">E228*G228</f>
        <v>9421.4</v>
      </c>
      <c r="L228" s="22" t="n">
        <f aca="false">F228*H228</f>
        <v>2724.59</v>
      </c>
      <c r="M228" s="22" t="n">
        <f aca="false">L228-K228</f>
        <v>-6696.81</v>
      </c>
    </row>
    <row r="229" customFormat="false" ht="15" hidden="false" customHeight="false" outlineLevel="0" collapsed="false">
      <c r="A229" s="21" t="s">
        <v>394</v>
      </c>
      <c r="B229" s="21" t="s">
        <v>232</v>
      </c>
      <c r="C229" s="21" t="s">
        <v>79</v>
      </c>
      <c r="D229" s="21" t="s">
        <v>80</v>
      </c>
      <c r="E229" s="22" t="n">
        <v>13.64</v>
      </c>
      <c r="F229" s="22" t="n">
        <v>22.99</v>
      </c>
      <c r="G229" s="23" t="n">
        <v>191</v>
      </c>
      <c r="H229" s="23" t="n">
        <v>62</v>
      </c>
      <c r="I229" s="23" t="n">
        <f aca="false">G229-H229</f>
        <v>129</v>
      </c>
      <c r="J229" s="21" t="str">
        <f aca="false">IF(I229&lt;50,"LOW-IN-STOCK","IN-STOCK")</f>
        <v>IN-STOCK</v>
      </c>
      <c r="K229" s="22" t="n">
        <f aca="false">E229*G229</f>
        <v>2605.24</v>
      </c>
      <c r="L229" s="22" t="n">
        <f aca="false">F229*H229</f>
        <v>1425.38</v>
      </c>
      <c r="M229" s="22" t="n">
        <f aca="false">L229-K229</f>
        <v>-1179.86</v>
      </c>
    </row>
    <row r="230" customFormat="false" ht="15" hidden="false" customHeight="false" outlineLevel="0" collapsed="false">
      <c r="A230" s="21" t="s">
        <v>395</v>
      </c>
      <c r="B230" s="21" t="s">
        <v>92</v>
      </c>
      <c r="C230" s="21" t="s">
        <v>93</v>
      </c>
      <c r="D230" s="21" t="s">
        <v>102</v>
      </c>
      <c r="E230" s="22" t="n">
        <v>2.42</v>
      </c>
      <c r="F230" s="22" t="n">
        <v>4.52</v>
      </c>
      <c r="G230" s="23" t="n">
        <v>434</v>
      </c>
      <c r="H230" s="23" t="n">
        <v>185</v>
      </c>
      <c r="I230" s="23" t="n">
        <f aca="false">G230-H230</f>
        <v>249</v>
      </c>
      <c r="J230" s="21" t="str">
        <f aca="false">IF(I230&lt;50,"LOW-IN-STOCK","IN-STOCK")</f>
        <v>IN-STOCK</v>
      </c>
      <c r="K230" s="22" t="n">
        <f aca="false">E230*G230</f>
        <v>1050.28</v>
      </c>
      <c r="L230" s="22" t="n">
        <f aca="false">F230*H230</f>
        <v>836.2</v>
      </c>
      <c r="M230" s="22" t="n">
        <f aca="false">L230-K230</f>
        <v>-214.08</v>
      </c>
    </row>
    <row r="231" customFormat="false" ht="15" hidden="false" customHeight="false" outlineLevel="0" collapsed="false">
      <c r="A231" s="21" t="s">
        <v>396</v>
      </c>
      <c r="B231" s="21" t="s">
        <v>145</v>
      </c>
      <c r="C231" s="21" t="s">
        <v>87</v>
      </c>
      <c r="D231" s="21" t="s">
        <v>84</v>
      </c>
      <c r="E231" s="22" t="n">
        <v>10.87</v>
      </c>
      <c r="F231" s="22" t="n">
        <v>20.72</v>
      </c>
      <c r="G231" s="23" t="n">
        <v>116</v>
      </c>
      <c r="H231" s="23" t="n">
        <v>82</v>
      </c>
      <c r="I231" s="23" t="n">
        <f aca="false">G231-H231</f>
        <v>34</v>
      </c>
      <c r="J231" s="21" t="str">
        <f aca="false">IF(I231&lt;50,"LOW-IN-STOCK","IN-STOCK")</f>
        <v>LOW-IN-STOCK</v>
      </c>
      <c r="K231" s="22" t="n">
        <f aca="false">E231*G231</f>
        <v>1260.92</v>
      </c>
      <c r="L231" s="22" t="n">
        <f aca="false">F231*H231</f>
        <v>1699.04</v>
      </c>
      <c r="M231" s="22" t="n">
        <f aca="false">L231-K231</f>
        <v>438.12</v>
      </c>
    </row>
    <row r="232" customFormat="false" ht="15" hidden="false" customHeight="false" outlineLevel="0" collapsed="false">
      <c r="A232" s="21" t="s">
        <v>397</v>
      </c>
      <c r="B232" s="21" t="s">
        <v>276</v>
      </c>
      <c r="C232" s="21" t="s">
        <v>83</v>
      </c>
      <c r="D232" s="21" t="s">
        <v>108</v>
      </c>
      <c r="E232" s="22" t="n">
        <v>21.22</v>
      </c>
      <c r="F232" s="22" t="n">
        <v>34.94</v>
      </c>
      <c r="G232" s="23" t="n">
        <v>136</v>
      </c>
      <c r="H232" s="23" t="n">
        <v>118</v>
      </c>
      <c r="I232" s="23" t="n">
        <f aca="false">G232-H232</f>
        <v>18</v>
      </c>
      <c r="J232" s="21" t="str">
        <f aca="false">IF(I232&lt;50,"LOW-IN-STOCK","IN-STOCK")</f>
        <v>LOW-IN-STOCK</v>
      </c>
      <c r="K232" s="22" t="n">
        <f aca="false">E232*G232</f>
        <v>2885.92</v>
      </c>
      <c r="L232" s="22" t="n">
        <f aca="false">F232*H232</f>
        <v>4122.92</v>
      </c>
      <c r="M232" s="22" t="n">
        <f aca="false">L232-K232</f>
        <v>1237</v>
      </c>
    </row>
    <row r="233" customFormat="false" ht="15" hidden="false" customHeight="false" outlineLevel="0" collapsed="false">
      <c r="A233" s="21" t="s">
        <v>398</v>
      </c>
      <c r="B233" s="21" t="s">
        <v>308</v>
      </c>
      <c r="C233" s="21" t="s">
        <v>87</v>
      </c>
      <c r="D233" s="21" t="s">
        <v>88</v>
      </c>
      <c r="E233" s="22" t="n">
        <v>4.68</v>
      </c>
      <c r="F233" s="22" t="n">
        <v>8.75</v>
      </c>
      <c r="G233" s="23" t="n">
        <v>442</v>
      </c>
      <c r="H233" s="23" t="n">
        <v>398</v>
      </c>
      <c r="I233" s="23" t="n">
        <f aca="false">G233-H233</f>
        <v>44</v>
      </c>
      <c r="J233" s="21" t="str">
        <f aca="false">IF(I233&lt;50,"LOW-IN-STOCK","IN-STOCK")</f>
        <v>LOW-IN-STOCK</v>
      </c>
      <c r="K233" s="22" t="n">
        <f aca="false">E233*G233</f>
        <v>2068.56</v>
      </c>
      <c r="L233" s="22" t="n">
        <f aca="false">F233*H233</f>
        <v>3482.5</v>
      </c>
      <c r="M233" s="22" t="n">
        <f aca="false">L233-K233</f>
        <v>1413.94</v>
      </c>
    </row>
    <row r="234" customFormat="false" ht="15" hidden="false" customHeight="false" outlineLevel="0" collapsed="false">
      <c r="A234" s="21" t="s">
        <v>399</v>
      </c>
      <c r="B234" s="21" t="s">
        <v>74</v>
      </c>
      <c r="C234" s="21" t="s">
        <v>75</v>
      </c>
      <c r="D234" s="21" t="s">
        <v>80</v>
      </c>
      <c r="E234" s="22" t="n">
        <v>20.88</v>
      </c>
      <c r="F234" s="22" t="n">
        <v>39.93</v>
      </c>
      <c r="G234" s="23" t="n">
        <v>316</v>
      </c>
      <c r="H234" s="23" t="n">
        <v>267</v>
      </c>
      <c r="I234" s="23" t="n">
        <f aca="false">G234-H234</f>
        <v>49</v>
      </c>
      <c r="J234" s="21" t="str">
        <f aca="false">IF(I234&lt;50,"LOW-IN-STOCK","IN-STOCK")</f>
        <v>LOW-IN-STOCK</v>
      </c>
      <c r="K234" s="22" t="n">
        <f aca="false">E234*G234</f>
        <v>6598.08</v>
      </c>
      <c r="L234" s="22" t="n">
        <f aca="false">F234*H234</f>
        <v>10661.31</v>
      </c>
      <c r="M234" s="22" t="n">
        <f aca="false">L234-K234</f>
        <v>4063.23</v>
      </c>
    </row>
    <row r="235" customFormat="false" ht="15" hidden="false" customHeight="false" outlineLevel="0" collapsed="false">
      <c r="A235" s="21" t="s">
        <v>400</v>
      </c>
      <c r="B235" s="21" t="s">
        <v>116</v>
      </c>
      <c r="C235" s="21" t="s">
        <v>83</v>
      </c>
      <c r="D235" s="21" t="s">
        <v>102</v>
      </c>
      <c r="E235" s="22" t="n">
        <v>1.9</v>
      </c>
      <c r="F235" s="22" t="n">
        <v>3.93</v>
      </c>
      <c r="G235" s="23" t="n">
        <v>130</v>
      </c>
      <c r="H235" s="23" t="n">
        <v>59</v>
      </c>
      <c r="I235" s="23" t="n">
        <f aca="false">G235-H235</f>
        <v>71</v>
      </c>
      <c r="J235" s="21" t="str">
        <f aca="false">IF(I235&lt;50,"LOW-IN-STOCK","IN-STOCK")</f>
        <v>IN-STOCK</v>
      </c>
      <c r="K235" s="22" t="n">
        <f aca="false">E235*G235</f>
        <v>247</v>
      </c>
      <c r="L235" s="22" t="n">
        <f aca="false">F235*H235</f>
        <v>231.87</v>
      </c>
      <c r="M235" s="22" t="n">
        <f aca="false">L235-K235</f>
        <v>-15.13</v>
      </c>
    </row>
    <row r="236" customFormat="false" ht="15" hidden="false" customHeight="false" outlineLevel="0" collapsed="false">
      <c r="A236" s="21" t="s">
        <v>401</v>
      </c>
      <c r="B236" s="21" t="s">
        <v>282</v>
      </c>
      <c r="C236" s="21" t="s">
        <v>79</v>
      </c>
      <c r="D236" s="21" t="s">
        <v>84</v>
      </c>
      <c r="E236" s="22" t="n">
        <v>11.47</v>
      </c>
      <c r="F236" s="22" t="n">
        <v>20.24</v>
      </c>
      <c r="G236" s="23" t="n">
        <v>255</v>
      </c>
      <c r="H236" s="23" t="n">
        <v>83</v>
      </c>
      <c r="I236" s="23" t="n">
        <f aca="false">G236-H236</f>
        <v>172</v>
      </c>
      <c r="J236" s="21" t="str">
        <f aca="false">IF(I236&lt;50,"LOW-IN-STOCK","IN-STOCK")</f>
        <v>IN-STOCK</v>
      </c>
      <c r="K236" s="22" t="n">
        <f aca="false">E236*G236</f>
        <v>2924.85</v>
      </c>
      <c r="L236" s="22" t="n">
        <f aca="false">F236*H236</f>
        <v>1679.92</v>
      </c>
      <c r="M236" s="22" t="n">
        <f aca="false">L236-K236</f>
        <v>-1244.93</v>
      </c>
    </row>
    <row r="237" customFormat="false" ht="15" hidden="false" customHeight="false" outlineLevel="0" collapsed="false">
      <c r="A237" s="21" t="s">
        <v>402</v>
      </c>
      <c r="B237" s="21" t="s">
        <v>134</v>
      </c>
      <c r="C237" s="21" t="s">
        <v>83</v>
      </c>
      <c r="D237" s="21" t="s">
        <v>160</v>
      </c>
      <c r="E237" s="22" t="n">
        <v>18.1</v>
      </c>
      <c r="F237" s="22" t="n">
        <v>29.53</v>
      </c>
      <c r="G237" s="23" t="n">
        <v>473</v>
      </c>
      <c r="H237" s="23" t="n">
        <v>174</v>
      </c>
      <c r="I237" s="23" t="n">
        <f aca="false">G237-H237</f>
        <v>299</v>
      </c>
      <c r="J237" s="21" t="str">
        <f aca="false">IF(I237&lt;50,"LOW-IN-STOCK","IN-STOCK")</f>
        <v>IN-STOCK</v>
      </c>
      <c r="K237" s="22" t="n">
        <f aca="false">E237*G237</f>
        <v>8561.3</v>
      </c>
      <c r="L237" s="22" t="n">
        <f aca="false">F237*H237</f>
        <v>5138.22</v>
      </c>
      <c r="M237" s="22" t="n">
        <f aca="false">L237-K237</f>
        <v>-3423.08</v>
      </c>
    </row>
    <row r="238" customFormat="false" ht="15" hidden="false" customHeight="false" outlineLevel="0" collapsed="false">
      <c r="A238" s="21" t="s">
        <v>403</v>
      </c>
      <c r="B238" s="21" t="s">
        <v>308</v>
      </c>
      <c r="C238" s="21" t="s">
        <v>87</v>
      </c>
      <c r="D238" s="21" t="s">
        <v>84</v>
      </c>
      <c r="E238" s="22" t="n">
        <v>3.48</v>
      </c>
      <c r="F238" s="22" t="n">
        <v>4.65</v>
      </c>
      <c r="G238" s="23" t="n">
        <v>384</v>
      </c>
      <c r="H238" s="23" t="n">
        <v>247</v>
      </c>
      <c r="I238" s="23" t="n">
        <f aca="false">G238-H238</f>
        <v>137</v>
      </c>
      <c r="J238" s="21" t="str">
        <f aca="false">IF(I238&lt;50,"LOW-IN-STOCK","IN-STOCK")</f>
        <v>IN-STOCK</v>
      </c>
      <c r="K238" s="22" t="n">
        <f aca="false">E238*G238</f>
        <v>1336.32</v>
      </c>
      <c r="L238" s="22" t="n">
        <f aca="false">F238*H238</f>
        <v>1148.55</v>
      </c>
      <c r="M238" s="22" t="n">
        <f aca="false">L238-K238</f>
        <v>-187.77</v>
      </c>
    </row>
    <row r="239" customFormat="false" ht="15" hidden="false" customHeight="false" outlineLevel="0" collapsed="false">
      <c r="A239" s="21" t="s">
        <v>404</v>
      </c>
      <c r="B239" s="21" t="s">
        <v>110</v>
      </c>
      <c r="C239" s="21" t="s">
        <v>93</v>
      </c>
      <c r="D239" s="21" t="s">
        <v>114</v>
      </c>
      <c r="E239" s="22" t="n">
        <v>8.16</v>
      </c>
      <c r="F239" s="22" t="n">
        <v>10.72</v>
      </c>
      <c r="G239" s="23" t="n">
        <v>326</v>
      </c>
      <c r="H239" s="23" t="n">
        <v>116</v>
      </c>
      <c r="I239" s="23" t="n">
        <f aca="false">G239-H239</f>
        <v>210</v>
      </c>
      <c r="J239" s="21" t="str">
        <f aca="false">IF(I239&lt;50,"LOW-IN-STOCK","IN-STOCK")</f>
        <v>IN-STOCK</v>
      </c>
      <c r="K239" s="22" t="n">
        <f aca="false">E239*G239</f>
        <v>2660.16</v>
      </c>
      <c r="L239" s="22" t="n">
        <f aca="false">F239*H239</f>
        <v>1243.52</v>
      </c>
      <c r="M239" s="22" t="n">
        <f aca="false">L239-K239</f>
        <v>-1416.64</v>
      </c>
    </row>
    <row r="240" customFormat="false" ht="15" hidden="false" customHeight="false" outlineLevel="0" collapsed="false">
      <c r="A240" s="21" t="s">
        <v>405</v>
      </c>
      <c r="B240" s="21" t="s">
        <v>78</v>
      </c>
      <c r="C240" s="21" t="s">
        <v>79</v>
      </c>
      <c r="D240" s="21" t="s">
        <v>99</v>
      </c>
      <c r="E240" s="22" t="n">
        <v>1.62</v>
      </c>
      <c r="F240" s="22" t="n">
        <v>3.35</v>
      </c>
      <c r="G240" s="23" t="n">
        <v>393</v>
      </c>
      <c r="H240" s="23" t="n">
        <v>362</v>
      </c>
      <c r="I240" s="23" t="n">
        <f aca="false">G240-H240</f>
        <v>31</v>
      </c>
      <c r="J240" s="21" t="str">
        <f aca="false">IF(I240&lt;50,"LOW-IN-STOCK","IN-STOCK")</f>
        <v>LOW-IN-STOCK</v>
      </c>
      <c r="K240" s="22" t="n">
        <f aca="false">E240*G240</f>
        <v>636.66</v>
      </c>
      <c r="L240" s="22" t="n">
        <f aca="false">F240*H240</f>
        <v>1212.7</v>
      </c>
      <c r="M240" s="22" t="n">
        <f aca="false">L240-K240</f>
        <v>576.04</v>
      </c>
    </row>
    <row r="241" customFormat="false" ht="15" hidden="false" customHeight="false" outlineLevel="0" collapsed="false">
      <c r="A241" s="21" t="s">
        <v>406</v>
      </c>
      <c r="B241" s="21" t="s">
        <v>239</v>
      </c>
      <c r="C241" s="21" t="s">
        <v>113</v>
      </c>
      <c r="D241" s="21" t="s">
        <v>108</v>
      </c>
      <c r="E241" s="22" t="n">
        <v>30.99</v>
      </c>
      <c r="F241" s="22" t="n">
        <v>61.02</v>
      </c>
      <c r="G241" s="23" t="n">
        <v>459</v>
      </c>
      <c r="H241" s="23" t="n">
        <v>182</v>
      </c>
      <c r="I241" s="23" t="n">
        <f aca="false">G241-H241</f>
        <v>277</v>
      </c>
      <c r="J241" s="21" t="str">
        <f aca="false">IF(I241&lt;50,"LOW-IN-STOCK","IN-STOCK")</f>
        <v>IN-STOCK</v>
      </c>
      <c r="K241" s="22" t="n">
        <f aca="false">E241*G241</f>
        <v>14224.41</v>
      </c>
      <c r="L241" s="22" t="n">
        <f aca="false">F241*H241</f>
        <v>11105.64</v>
      </c>
      <c r="M241" s="22" t="n">
        <f aca="false">L241-K241</f>
        <v>-3118.77</v>
      </c>
    </row>
    <row r="242" customFormat="false" ht="15" hidden="false" customHeight="false" outlineLevel="0" collapsed="false">
      <c r="A242" s="21" t="s">
        <v>407</v>
      </c>
      <c r="B242" s="21" t="s">
        <v>164</v>
      </c>
      <c r="C242" s="21" t="s">
        <v>93</v>
      </c>
      <c r="D242" s="21" t="s">
        <v>80</v>
      </c>
      <c r="E242" s="22" t="n">
        <v>1.71</v>
      </c>
      <c r="F242" s="22" t="n">
        <v>2.74</v>
      </c>
      <c r="G242" s="23" t="n">
        <v>217</v>
      </c>
      <c r="H242" s="23" t="n">
        <v>101</v>
      </c>
      <c r="I242" s="23" t="n">
        <f aca="false">G242-H242</f>
        <v>116</v>
      </c>
      <c r="J242" s="21" t="str">
        <f aca="false">IF(I242&lt;50,"LOW-IN-STOCK","IN-STOCK")</f>
        <v>IN-STOCK</v>
      </c>
      <c r="K242" s="22" t="n">
        <f aca="false">E242*G242</f>
        <v>371.07</v>
      </c>
      <c r="L242" s="22" t="n">
        <f aca="false">F242*H242</f>
        <v>276.74</v>
      </c>
      <c r="M242" s="22" t="n">
        <f aca="false">L242-K242</f>
        <v>-94.33</v>
      </c>
    </row>
    <row r="243" customFormat="false" ht="15" hidden="false" customHeight="false" outlineLevel="0" collapsed="false">
      <c r="A243" s="21" t="s">
        <v>408</v>
      </c>
      <c r="B243" s="21" t="s">
        <v>90</v>
      </c>
      <c r="C243" s="21" t="s">
        <v>75</v>
      </c>
      <c r="D243" s="21" t="s">
        <v>102</v>
      </c>
      <c r="E243" s="22" t="n">
        <v>14.94</v>
      </c>
      <c r="F243" s="22" t="n">
        <v>31.95</v>
      </c>
      <c r="G243" s="23" t="n">
        <v>223</v>
      </c>
      <c r="H243" s="23" t="n">
        <v>127</v>
      </c>
      <c r="I243" s="23" t="n">
        <f aca="false">G243-H243</f>
        <v>96</v>
      </c>
      <c r="J243" s="21" t="str">
        <f aca="false">IF(I243&lt;50,"LOW-IN-STOCK","IN-STOCK")</f>
        <v>IN-STOCK</v>
      </c>
      <c r="K243" s="22" t="n">
        <f aca="false">E243*G243</f>
        <v>3331.62</v>
      </c>
      <c r="L243" s="22" t="n">
        <f aca="false">F243*H243</f>
        <v>4057.65</v>
      </c>
      <c r="M243" s="22" t="n">
        <f aca="false">L243-K243</f>
        <v>726.03</v>
      </c>
    </row>
    <row r="244" customFormat="false" ht="15" hidden="false" customHeight="false" outlineLevel="0" collapsed="false">
      <c r="A244" s="21" t="s">
        <v>409</v>
      </c>
      <c r="B244" s="21" t="s">
        <v>145</v>
      </c>
      <c r="C244" s="21" t="s">
        <v>87</v>
      </c>
      <c r="D244" s="21" t="s">
        <v>160</v>
      </c>
      <c r="E244" s="22" t="n">
        <v>4.81</v>
      </c>
      <c r="F244" s="22" t="n">
        <v>10.34</v>
      </c>
      <c r="G244" s="23" t="n">
        <v>73</v>
      </c>
      <c r="H244" s="23" t="n">
        <v>23</v>
      </c>
      <c r="I244" s="23" t="n">
        <f aca="false">G244-H244</f>
        <v>50</v>
      </c>
      <c r="J244" s="21" t="str">
        <f aca="false">IF(I244&lt;50,"LOW-IN-STOCK","IN-STOCK")</f>
        <v>IN-STOCK</v>
      </c>
      <c r="K244" s="22" t="n">
        <f aca="false">E244*G244</f>
        <v>351.13</v>
      </c>
      <c r="L244" s="22" t="n">
        <f aca="false">F244*H244</f>
        <v>237.82</v>
      </c>
      <c r="M244" s="22" t="n">
        <f aca="false">L244-K244</f>
        <v>-113.31</v>
      </c>
    </row>
    <row r="245" customFormat="false" ht="15" hidden="false" customHeight="false" outlineLevel="0" collapsed="false">
      <c r="A245" s="21" t="s">
        <v>410</v>
      </c>
      <c r="B245" s="21" t="s">
        <v>411</v>
      </c>
      <c r="C245" s="21" t="s">
        <v>107</v>
      </c>
      <c r="D245" s="21" t="s">
        <v>108</v>
      </c>
      <c r="E245" s="22" t="n">
        <v>2.65</v>
      </c>
      <c r="F245" s="22" t="n">
        <v>5.11</v>
      </c>
      <c r="G245" s="23" t="n">
        <v>464</v>
      </c>
      <c r="H245" s="23" t="n">
        <v>423</v>
      </c>
      <c r="I245" s="23" t="n">
        <f aca="false">G245-H245</f>
        <v>41</v>
      </c>
      <c r="J245" s="21" t="str">
        <f aca="false">IF(I245&lt;50,"LOW-IN-STOCK","IN-STOCK")</f>
        <v>LOW-IN-STOCK</v>
      </c>
      <c r="K245" s="22" t="n">
        <f aca="false">E245*G245</f>
        <v>1229.6</v>
      </c>
      <c r="L245" s="22" t="n">
        <f aca="false">F245*H245</f>
        <v>2161.53</v>
      </c>
      <c r="M245" s="22" t="n">
        <f aca="false">L245-K245</f>
        <v>931.93</v>
      </c>
    </row>
    <row r="246" customFormat="false" ht="15" hidden="false" customHeight="false" outlineLevel="0" collapsed="false">
      <c r="A246" s="21" t="s">
        <v>412</v>
      </c>
      <c r="B246" s="21" t="s">
        <v>246</v>
      </c>
      <c r="C246" s="21" t="s">
        <v>75</v>
      </c>
      <c r="D246" s="21" t="s">
        <v>80</v>
      </c>
      <c r="E246" s="22" t="n">
        <v>4.26</v>
      </c>
      <c r="F246" s="22" t="n">
        <v>7.57</v>
      </c>
      <c r="G246" s="23" t="n">
        <v>481</v>
      </c>
      <c r="H246" s="23" t="n">
        <v>243</v>
      </c>
      <c r="I246" s="23" t="n">
        <f aca="false">G246-H246</f>
        <v>238</v>
      </c>
      <c r="J246" s="21" t="str">
        <f aca="false">IF(I246&lt;50,"LOW-IN-STOCK","IN-STOCK")</f>
        <v>IN-STOCK</v>
      </c>
      <c r="K246" s="22" t="n">
        <f aca="false">E246*G246</f>
        <v>2049.06</v>
      </c>
      <c r="L246" s="22" t="n">
        <f aca="false">F246*H246</f>
        <v>1839.51</v>
      </c>
      <c r="M246" s="22" t="n">
        <f aca="false">L246-K246</f>
        <v>-209.55</v>
      </c>
    </row>
    <row r="247" customFormat="false" ht="15" hidden="false" customHeight="false" outlineLevel="0" collapsed="false">
      <c r="A247" s="21" t="s">
        <v>413</v>
      </c>
      <c r="B247" s="21" t="s">
        <v>383</v>
      </c>
      <c r="C247" s="21" t="s">
        <v>87</v>
      </c>
      <c r="D247" s="21" t="s">
        <v>160</v>
      </c>
      <c r="E247" s="22" t="n">
        <v>21.55</v>
      </c>
      <c r="F247" s="22" t="n">
        <v>32.03</v>
      </c>
      <c r="G247" s="23" t="n">
        <v>189</v>
      </c>
      <c r="H247" s="23" t="n">
        <v>71</v>
      </c>
      <c r="I247" s="23" t="n">
        <f aca="false">G247-H247</f>
        <v>118</v>
      </c>
      <c r="J247" s="21" t="str">
        <f aca="false">IF(I247&lt;50,"LOW-IN-STOCK","IN-STOCK")</f>
        <v>IN-STOCK</v>
      </c>
      <c r="K247" s="22" t="n">
        <f aca="false">E247*G247</f>
        <v>4072.95</v>
      </c>
      <c r="L247" s="22" t="n">
        <f aca="false">F247*H247</f>
        <v>2274.13</v>
      </c>
      <c r="M247" s="22" t="n">
        <f aca="false">L247-K247</f>
        <v>-1798.82</v>
      </c>
    </row>
    <row r="248" customFormat="false" ht="15" hidden="false" customHeight="false" outlineLevel="0" collapsed="false">
      <c r="A248" s="21" t="s">
        <v>414</v>
      </c>
      <c r="B248" s="21" t="s">
        <v>224</v>
      </c>
      <c r="C248" s="21" t="s">
        <v>79</v>
      </c>
      <c r="D248" s="21" t="s">
        <v>114</v>
      </c>
      <c r="E248" s="22" t="n">
        <v>6.61</v>
      </c>
      <c r="F248" s="22" t="n">
        <v>12.49</v>
      </c>
      <c r="G248" s="23" t="n">
        <v>383</v>
      </c>
      <c r="H248" s="23" t="n">
        <v>303</v>
      </c>
      <c r="I248" s="23" t="n">
        <f aca="false">G248-H248</f>
        <v>80</v>
      </c>
      <c r="J248" s="21" t="str">
        <f aca="false">IF(I248&lt;50,"LOW-IN-STOCK","IN-STOCK")</f>
        <v>IN-STOCK</v>
      </c>
      <c r="K248" s="22" t="n">
        <f aca="false">E248*G248</f>
        <v>2531.63</v>
      </c>
      <c r="L248" s="22" t="n">
        <f aca="false">F248*H248</f>
        <v>3784.47</v>
      </c>
      <c r="M248" s="22" t="n">
        <f aca="false">L248-K248</f>
        <v>1252.84</v>
      </c>
    </row>
    <row r="249" customFormat="false" ht="15" hidden="false" customHeight="false" outlineLevel="0" collapsed="false">
      <c r="A249" s="21" t="s">
        <v>415</v>
      </c>
      <c r="B249" s="21" t="s">
        <v>106</v>
      </c>
      <c r="C249" s="21" t="s">
        <v>107</v>
      </c>
      <c r="D249" s="21" t="s">
        <v>102</v>
      </c>
      <c r="E249" s="22" t="n">
        <v>4.05</v>
      </c>
      <c r="F249" s="22" t="n">
        <v>8.89</v>
      </c>
      <c r="G249" s="23" t="n">
        <v>440</v>
      </c>
      <c r="H249" s="23" t="n">
        <v>45</v>
      </c>
      <c r="I249" s="23" t="n">
        <f aca="false">G249-H249</f>
        <v>395</v>
      </c>
      <c r="J249" s="21" t="str">
        <f aca="false">IF(I249&lt;50,"LOW-IN-STOCK","IN-STOCK")</f>
        <v>IN-STOCK</v>
      </c>
      <c r="K249" s="22" t="n">
        <f aca="false">E249*G249</f>
        <v>1782</v>
      </c>
      <c r="L249" s="22" t="n">
        <f aca="false">F249*H249</f>
        <v>400.05</v>
      </c>
      <c r="M249" s="22" t="n">
        <f aca="false">L249-K249</f>
        <v>-1381.95</v>
      </c>
    </row>
    <row r="250" customFormat="false" ht="15" hidden="false" customHeight="false" outlineLevel="0" collapsed="false">
      <c r="A250" s="21" t="s">
        <v>416</v>
      </c>
      <c r="B250" s="21" t="s">
        <v>110</v>
      </c>
      <c r="C250" s="21" t="s">
        <v>93</v>
      </c>
      <c r="D250" s="21" t="s">
        <v>84</v>
      </c>
      <c r="E250" s="22" t="n">
        <v>2.74</v>
      </c>
      <c r="F250" s="22" t="n">
        <v>5.79</v>
      </c>
      <c r="G250" s="23" t="n">
        <v>48</v>
      </c>
      <c r="H250" s="23" t="n">
        <v>22</v>
      </c>
      <c r="I250" s="23" t="n">
        <f aca="false">G250-H250</f>
        <v>26</v>
      </c>
      <c r="J250" s="21" t="str">
        <f aca="false">IF(I250&lt;50,"LOW-IN-STOCK","IN-STOCK")</f>
        <v>LOW-IN-STOCK</v>
      </c>
      <c r="K250" s="22" t="n">
        <f aca="false">E250*G250</f>
        <v>131.52</v>
      </c>
      <c r="L250" s="22" t="n">
        <f aca="false">F250*H250</f>
        <v>127.38</v>
      </c>
      <c r="M250" s="22" t="n">
        <f aca="false">L250-K250</f>
        <v>-4.14000000000002</v>
      </c>
    </row>
    <row r="251" customFormat="false" ht="15" hidden="false" customHeight="false" outlineLevel="0" collapsed="false">
      <c r="A251" s="21" t="s">
        <v>417</v>
      </c>
      <c r="B251" s="21" t="s">
        <v>82</v>
      </c>
      <c r="C251" s="21" t="s">
        <v>83</v>
      </c>
      <c r="D251" s="21" t="s">
        <v>84</v>
      </c>
      <c r="E251" s="22" t="n">
        <v>8.99</v>
      </c>
      <c r="F251" s="22" t="n">
        <v>13.87</v>
      </c>
      <c r="G251" s="23" t="n">
        <v>480</v>
      </c>
      <c r="H251" s="23" t="n">
        <v>334</v>
      </c>
      <c r="I251" s="23" t="n">
        <f aca="false">G251-H251</f>
        <v>146</v>
      </c>
      <c r="J251" s="21" t="str">
        <f aca="false">IF(I251&lt;50,"LOW-IN-STOCK","IN-STOCK")</f>
        <v>IN-STOCK</v>
      </c>
      <c r="K251" s="22" t="n">
        <f aca="false">E251*G251</f>
        <v>4315.2</v>
      </c>
      <c r="L251" s="22" t="n">
        <f aca="false">F251*H251</f>
        <v>4632.58</v>
      </c>
      <c r="M251" s="22" t="n">
        <f aca="false">L251-K251</f>
        <v>317.38</v>
      </c>
    </row>
    <row r="252" customFormat="false" ht="15" hidden="false" customHeight="false" outlineLevel="0" collapsed="false">
      <c r="A252" s="21" t="s">
        <v>418</v>
      </c>
      <c r="B252" s="21" t="s">
        <v>170</v>
      </c>
      <c r="C252" s="21" t="s">
        <v>87</v>
      </c>
      <c r="D252" s="21" t="s">
        <v>99</v>
      </c>
      <c r="E252" s="22" t="n">
        <v>17.36</v>
      </c>
      <c r="F252" s="22" t="n">
        <v>25.5</v>
      </c>
      <c r="G252" s="23" t="n">
        <v>142</v>
      </c>
      <c r="H252" s="23" t="n">
        <v>110</v>
      </c>
      <c r="I252" s="23" t="n">
        <f aca="false">G252-H252</f>
        <v>32</v>
      </c>
      <c r="J252" s="21" t="str">
        <f aca="false">IF(I252&lt;50,"LOW-IN-STOCK","IN-STOCK")</f>
        <v>LOW-IN-STOCK</v>
      </c>
      <c r="K252" s="22" t="n">
        <f aca="false">E252*G252</f>
        <v>2465.12</v>
      </c>
      <c r="L252" s="22" t="n">
        <f aca="false">F252*H252</f>
        <v>2805</v>
      </c>
      <c r="M252" s="22" t="n">
        <f aca="false">L252-K252</f>
        <v>339.88</v>
      </c>
    </row>
    <row r="253" customFormat="false" ht="15" hidden="false" customHeight="false" outlineLevel="0" collapsed="false">
      <c r="A253" s="21" t="s">
        <v>419</v>
      </c>
      <c r="B253" s="21" t="s">
        <v>122</v>
      </c>
      <c r="C253" s="21" t="s">
        <v>75</v>
      </c>
      <c r="D253" s="21" t="s">
        <v>99</v>
      </c>
      <c r="E253" s="22" t="n">
        <v>29.94</v>
      </c>
      <c r="F253" s="22" t="n">
        <v>45.17</v>
      </c>
      <c r="G253" s="23" t="n">
        <v>226</v>
      </c>
      <c r="H253" s="23" t="n">
        <v>83</v>
      </c>
      <c r="I253" s="23" t="n">
        <f aca="false">G253-H253</f>
        <v>143</v>
      </c>
      <c r="J253" s="21" t="str">
        <f aca="false">IF(I253&lt;50,"LOW-IN-STOCK","IN-STOCK")</f>
        <v>IN-STOCK</v>
      </c>
      <c r="K253" s="22" t="n">
        <f aca="false">E253*G253</f>
        <v>6766.44</v>
      </c>
      <c r="L253" s="22" t="n">
        <f aca="false">F253*H253</f>
        <v>3749.11</v>
      </c>
      <c r="M253" s="22" t="n">
        <f aca="false">L253-K253</f>
        <v>-3017.33</v>
      </c>
    </row>
    <row r="254" customFormat="false" ht="15" hidden="false" customHeight="false" outlineLevel="0" collapsed="false">
      <c r="A254" s="21" t="s">
        <v>420</v>
      </c>
      <c r="B254" s="21" t="s">
        <v>289</v>
      </c>
      <c r="C254" s="21" t="s">
        <v>148</v>
      </c>
      <c r="D254" s="21" t="s">
        <v>76</v>
      </c>
      <c r="E254" s="22" t="n">
        <v>78.79</v>
      </c>
      <c r="F254" s="22" t="n">
        <v>107.46</v>
      </c>
      <c r="G254" s="23" t="n">
        <v>319</v>
      </c>
      <c r="H254" s="23" t="n">
        <v>150</v>
      </c>
      <c r="I254" s="23" t="n">
        <f aca="false">G254-H254</f>
        <v>169</v>
      </c>
      <c r="J254" s="21" t="str">
        <f aca="false">IF(I254&lt;50,"LOW-IN-STOCK","IN-STOCK")</f>
        <v>IN-STOCK</v>
      </c>
      <c r="K254" s="22" t="n">
        <f aca="false">E254*G254</f>
        <v>25134.01</v>
      </c>
      <c r="L254" s="22" t="n">
        <f aca="false">F254*H254</f>
        <v>16119</v>
      </c>
      <c r="M254" s="22" t="n">
        <f aca="false">L254-K254</f>
        <v>-9015.01</v>
      </c>
    </row>
    <row r="255" customFormat="false" ht="15" hidden="false" customHeight="false" outlineLevel="0" collapsed="false">
      <c r="A255" s="21" t="s">
        <v>421</v>
      </c>
      <c r="B255" s="21" t="s">
        <v>332</v>
      </c>
      <c r="C255" s="21" t="s">
        <v>107</v>
      </c>
      <c r="D255" s="21" t="s">
        <v>76</v>
      </c>
      <c r="E255" s="22" t="n">
        <v>8.76</v>
      </c>
      <c r="F255" s="22" t="n">
        <v>14.39</v>
      </c>
      <c r="G255" s="23" t="n">
        <v>277</v>
      </c>
      <c r="H255" s="23" t="n">
        <v>201</v>
      </c>
      <c r="I255" s="23" t="n">
        <f aca="false">G255-H255</f>
        <v>76</v>
      </c>
      <c r="J255" s="21" t="str">
        <f aca="false">IF(I255&lt;50,"LOW-IN-STOCK","IN-STOCK")</f>
        <v>IN-STOCK</v>
      </c>
      <c r="K255" s="22" t="n">
        <f aca="false">E255*G255</f>
        <v>2426.52</v>
      </c>
      <c r="L255" s="22" t="n">
        <f aca="false">F255*H255</f>
        <v>2892.39</v>
      </c>
      <c r="M255" s="22" t="n">
        <f aca="false">L255-K255</f>
        <v>465.87</v>
      </c>
    </row>
    <row r="256" customFormat="false" ht="15" hidden="false" customHeight="false" outlineLevel="0" collapsed="false">
      <c r="A256" s="21" t="s">
        <v>422</v>
      </c>
      <c r="B256" s="21" t="s">
        <v>90</v>
      </c>
      <c r="C256" s="21" t="s">
        <v>75</v>
      </c>
      <c r="D256" s="21" t="s">
        <v>84</v>
      </c>
      <c r="E256" s="22" t="n">
        <v>29.92</v>
      </c>
      <c r="F256" s="22" t="n">
        <v>40.8</v>
      </c>
      <c r="G256" s="23" t="n">
        <v>212</v>
      </c>
      <c r="H256" s="23" t="n">
        <v>166</v>
      </c>
      <c r="I256" s="23" t="n">
        <f aca="false">G256-H256</f>
        <v>46</v>
      </c>
      <c r="J256" s="21" t="str">
        <f aca="false">IF(I256&lt;50,"LOW-IN-STOCK","IN-STOCK")</f>
        <v>LOW-IN-STOCK</v>
      </c>
      <c r="K256" s="22" t="n">
        <f aca="false">E256*G256</f>
        <v>6343.04</v>
      </c>
      <c r="L256" s="22" t="n">
        <f aca="false">F256*H256</f>
        <v>6772.8</v>
      </c>
      <c r="M256" s="22" t="n">
        <f aca="false">L256-K256</f>
        <v>429.759999999999</v>
      </c>
    </row>
    <row r="257" customFormat="false" ht="15" hidden="false" customHeight="false" outlineLevel="0" collapsed="false">
      <c r="A257" s="21" t="s">
        <v>423</v>
      </c>
      <c r="B257" s="21" t="s">
        <v>297</v>
      </c>
      <c r="C257" s="21" t="s">
        <v>107</v>
      </c>
      <c r="D257" s="21" t="s">
        <v>88</v>
      </c>
      <c r="E257" s="22" t="n">
        <v>6.12</v>
      </c>
      <c r="F257" s="22" t="n">
        <v>12.53</v>
      </c>
      <c r="G257" s="23" t="n">
        <v>27</v>
      </c>
      <c r="H257" s="23" t="n">
        <v>18</v>
      </c>
      <c r="I257" s="23" t="n">
        <f aca="false">G257-H257</f>
        <v>9</v>
      </c>
      <c r="J257" s="21" t="str">
        <f aca="false">IF(I257&lt;50,"LOW-IN-STOCK","IN-STOCK")</f>
        <v>LOW-IN-STOCK</v>
      </c>
      <c r="K257" s="22" t="n">
        <f aca="false">E257*G257</f>
        <v>165.24</v>
      </c>
      <c r="L257" s="22" t="n">
        <f aca="false">F257*H257</f>
        <v>225.54</v>
      </c>
      <c r="M257" s="22" t="n">
        <f aca="false">L257-K257</f>
        <v>60.3</v>
      </c>
    </row>
    <row r="258" customFormat="false" ht="15" hidden="false" customHeight="false" outlineLevel="0" collapsed="false">
      <c r="A258" s="21" t="s">
        <v>424</v>
      </c>
      <c r="B258" s="21" t="s">
        <v>157</v>
      </c>
      <c r="C258" s="21" t="s">
        <v>113</v>
      </c>
      <c r="D258" s="21" t="s">
        <v>160</v>
      </c>
      <c r="E258" s="22" t="n">
        <v>31.45</v>
      </c>
      <c r="F258" s="22" t="n">
        <v>68.52</v>
      </c>
      <c r="G258" s="23" t="n">
        <v>422</v>
      </c>
      <c r="H258" s="23" t="n">
        <v>62</v>
      </c>
      <c r="I258" s="23" t="n">
        <f aca="false">G258-H258</f>
        <v>360</v>
      </c>
      <c r="J258" s="21" t="str">
        <f aca="false">IF(I258&lt;50,"LOW-IN-STOCK","IN-STOCK")</f>
        <v>IN-STOCK</v>
      </c>
      <c r="K258" s="22" t="n">
        <f aca="false">E258*G258</f>
        <v>13271.9</v>
      </c>
      <c r="L258" s="22" t="n">
        <f aca="false">F258*H258</f>
        <v>4248.24</v>
      </c>
      <c r="M258" s="22" t="n">
        <f aca="false">L258-K258</f>
        <v>-9023.66</v>
      </c>
    </row>
    <row r="259" customFormat="false" ht="15" hidden="false" customHeight="false" outlineLevel="0" collapsed="false">
      <c r="A259" s="21" t="s">
        <v>425</v>
      </c>
      <c r="B259" s="21" t="s">
        <v>176</v>
      </c>
      <c r="C259" s="21" t="s">
        <v>83</v>
      </c>
      <c r="D259" s="21" t="s">
        <v>80</v>
      </c>
      <c r="E259" s="22" t="n">
        <v>9.68</v>
      </c>
      <c r="F259" s="22" t="n">
        <v>18.01</v>
      </c>
      <c r="G259" s="23" t="n">
        <v>91</v>
      </c>
      <c r="H259" s="23" t="n">
        <v>42</v>
      </c>
      <c r="I259" s="23" t="n">
        <f aca="false">G259-H259</f>
        <v>49</v>
      </c>
      <c r="J259" s="21" t="str">
        <f aca="false">IF(I259&lt;50,"LOW-IN-STOCK","IN-STOCK")</f>
        <v>LOW-IN-STOCK</v>
      </c>
      <c r="K259" s="22" t="n">
        <f aca="false">E259*G259</f>
        <v>880.88</v>
      </c>
      <c r="L259" s="22" t="n">
        <f aca="false">F259*H259</f>
        <v>756.42</v>
      </c>
      <c r="M259" s="22" t="n">
        <f aca="false">L259-K259</f>
        <v>-124.46</v>
      </c>
    </row>
    <row r="260" customFormat="false" ht="15" hidden="false" customHeight="false" outlineLevel="0" collapsed="false">
      <c r="A260" s="21" t="s">
        <v>426</v>
      </c>
      <c r="B260" s="21" t="s">
        <v>276</v>
      </c>
      <c r="C260" s="21" t="s">
        <v>83</v>
      </c>
      <c r="D260" s="21" t="s">
        <v>114</v>
      </c>
      <c r="E260" s="22" t="n">
        <v>17.35</v>
      </c>
      <c r="F260" s="22" t="n">
        <v>25.05</v>
      </c>
      <c r="G260" s="23" t="n">
        <v>147</v>
      </c>
      <c r="H260" s="23" t="n">
        <v>125</v>
      </c>
      <c r="I260" s="23" t="n">
        <f aca="false">G260-H260</f>
        <v>22</v>
      </c>
      <c r="J260" s="21" t="str">
        <f aca="false">IF(I260&lt;50,"LOW-IN-STOCK","IN-STOCK")</f>
        <v>LOW-IN-STOCK</v>
      </c>
      <c r="K260" s="22" t="n">
        <f aca="false">E260*G260</f>
        <v>2550.45</v>
      </c>
      <c r="L260" s="22" t="n">
        <f aca="false">F260*H260</f>
        <v>3131.25</v>
      </c>
      <c r="M260" s="22" t="n">
        <f aca="false">L260-K260</f>
        <v>580.8</v>
      </c>
    </row>
    <row r="261" customFormat="false" ht="15" hidden="false" customHeight="false" outlineLevel="0" collapsed="false">
      <c r="A261" s="21" t="s">
        <v>427</v>
      </c>
      <c r="B261" s="21" t="s">
        <v>287</v>
      </c>
      <c r="C261" s="21" t="s">
        <v>87</v>
      </c>
      <c r="D261" s="21" t="s">
        <v>114</v>
      </c>
      <c r="E261" s="22" t="n">
        <v>14.3</v>
      </c>
      <c r="F261" s="22" t="n">
        <v>19.11</v>
      </c>
      <c r="G261" s="23" t="n">
        <v>418</v>
      </c>
      <c r="H261" s="23" t="n">
        <v>322</v>
      </c>
      <c r="I261" s="23" t="n">
        <f aca="false">G261-H261</f>
        <v>96</v>
      </c>
      <c r="J261" s="21" t="str">
        <f aca="false">IF(I261&lt;50,"LOW-IN-STOCK","IN-STOCK")</f>
        <v>IN-STOCK</v>
      </c>
      <c r="K261" s="22" t="n">
        <f aca="false">E261*G261</f>
        <v>5977.4</v>
      </c>
      <c r="L261" s="22" t="n">
        <f aca="false">F261*H261</f>
        <v>6153.42</v>
      </c>
      <c r="M261" s="22" t="n">
        <f aca="false">L261-K261</f>
        <v>176.02</v>
      </c>
    </row>
    <row r="262" customFormat="false" ht="15" hidden="false" customHeight="false" outlineLevel="0" collapsed="false">
      <c r="A262" s="21" t="s">
        <v>428</v>
      </c>
      <c r="B262" s="21" t="s">
        <v>282</v>
      </c>
      <c r="C262" s="21" t="s">
        <v>79</v>
      </c>
      <c r="D262" s="21" t="s">
        <v>108</v>
      </c>
      <c r="E262" s="22" t="n">
        <v>16.78</v>
      </c>
      <c r="F262" s="22" t="n">
        <v>35.24</v>
      </c>
      <c r="G262" s="23" t="n">
        <v>94</v>
      </c>
      <c r="H262" s="23" t="n">
        <v>34</v>
      </c>
      <c r="I262" s="23" t="n">
        <f aca="false">G262-H262</f>
        <v>60</v>
      </c>
      <c r="J262" s="21" t="str">
        <f aca="false">IF(I262&lt;50,"LOW-IN-STOCK","IN-STOCK")</f>
        <v>IN-STOCK</v>
      </c>
      <c r="K262" s="22" t="n">
        <f aca="false">E262*G262</f>
        <v>1577.32</v>
      </c>
      <c r="L262" s="22" t="n">
        <f aca="false">F262*H262</f>
        <v>1198.16</v>
      </c>
      <c r="M262" s="22" t="n">
        <f aca="false">L262-K262</f>
        <v>-379.16</v>
      </c>
    </row>
    <row r="263" customFormat="false" ht="15" hidden="false" customHeight="false" outlineLevel="0" collapsed="false">
      <c r="A263" s="21" t="s">
        <v>429</v>
      </c>
      <c r="B263" s="21" t="s">
        <v>232</v>
      </c>
      <c r="C263" s="21" t="s">
        <v>79</v>
      </c>
      <c r="D263" s="21" t="s">
        <v>137</v>
      </c>
      <c r="E263" s="22" t="n">
        <v>13.31</v>
      </c>
      <c r="F263" s="22" t="n">
        <v>28.25</v>
      </c>
      <c r="G263" s="23" t="n">
        <v>320</v>
      </c>
      <c r="H263" s="23" t="n">
        <v>234</v>
      </c>
      <c r="I263" s="23" t="n">
        <f aca="false">G263-H263</f>
        <v>86</v>
      </c>
      <c r="J263" s="21" t="str">
        <f aca="false">IF(I263&lt;50,"LOW-IN-STOCK","IN-STOCK")</f>
        <v>IN-STOCK</v>
      </c>
      <c r="K263" s="22" t="n">
        <f aca="false">E263*G263</f>
        <v>4259.2</v>
      </c>
      <c r="L263" s="22" t="n">
        <f aca="false">F263*H263</f>
        <v>6610.5</v>
      </c>
      <c r="M263" s="22" t="n">
        <f aca="false">L263-K263</f>
        <v>2351.3</v>
      </c>
    </row>
    <row r="264" customFormat="false" ht="15" hidden="false" customHeight="false" outlineLevel="0" collapsed="false">
      <c r="A264" s="21" t="s">
        <v>430</v>
      </c>
      <c r="B264" s="21" t="s">
        <v>78</v>
      </c>
      <c r="C264" s="21" t="s">
        <v>79</v>
      </c>
      <c r="D264" s="21" t="s">
        <v>99</v>
      </c>
      <c r="E264" s="22" t="n">
        <v>15.39</v>
      </c>
      <c r="F264" s="22" t="n">
        <v>28.86</v>
      </c>
      <c r="G264" s="23" t="n">
        <v>106</v>
      </c>
      <c r="H264" s="23" t="n">
        <v>59</v>
      </c>
      <c r="I264" s="23" t="n">
        <f aca="false">G264-H264</f>
        <v>47</v>
      </c>
      <c r="J264" s="21" t="str">
        <f aca="false">IF(I264&lt;50,"LOW-IN-STOCK","IN-STOCK")</f>
        <v>LOW-IN-STOCK</v>
      </c>
      <c r="K264" s="22" t="n">
        <f aca="false">E264*G264</f>
        <v>1631.34</v>
      </c>
      <c r="L264" s="22" t="n">
        <f aca="false">F264*H264</f>
        <v>1702.74</v>
      </c>
      <c r="M264" s="22" t="n">
        <f aca="false">L264-K264</f>
        <v>71.3999999999999</v>
      </c>
    </row>
    <row r="265" customFormat="false" ht="15" hidden="false" customHeight="false" outlineLevel="0" collapsed="false">
      <c r="A265" s="21" t="s">
        <v>431</v>
      </c>
      <c r="B265" s="21" t="s">
        <v>383</v>
      </c>
      <c r="C265" s="21" t="s">
        <v>87</v>
      </c>
      <c r="D265" s="21" t="s">
        <v>102</v>
      </c>
      <c r="E265" s="22" t="n">
        <v>18.09</v>
      </c>
      <c r="F265" s="22" t="n">
        <v>38.84</v>
      </c>
      <c r="G265" s="23" t="n">
        <v>420</v>
      </c>
      <c r="H265" s="23" t="n">
        <v>170</v>
      </c>
      <c r="I265" s="23" t="n">
        <f aca="false">G265-H265</f>
        <v>250</v>
      </c>
      <c r="J265" s="21" t="str">
        <f aca="false">IF(I265&lt;50,"LOW-IN-STOCK","IN-STOCK")</f>
        <v>IN-STOCK</v>
      </c>
      <c r="K265" s="22" t="n">
        <f aca="false">E265*G265</f>
        <v>7597.8</v>
      </c>
      <c r="L265" s="22" t="n">
        <f aca="false">F265*H265</f>
        <v>6602.8</v>
      </c>
      <c r="M265" s="22" t="n">
        <f aca="false">L265-K265</f>
        <v>-995</v>
      </c>
    </row>
    <row r="266" customFormat="false" ht="15" hidden="false" customHeight="false" outlineLevel="0" collapsed="false">
      <c r="A266" s="21" t="s">
        <v>432</v>
      </c>
      <c r="B266" s="21" t="s">
        <v>297</v>
      </c>
      <c r="C266" s="21" t="s">
        <v>107</v>
      </c>
      <c r="D266" s="21" t="s">
        <v>76</v>
      </c>
      <c r="E266" s="22" t="n">
        <v>6.69</v>
      </c>
      <c r="F266" s="22" t="n">
        <v>11.15</v>
      </c>
      <c r="G266" s="23" t="n">
        <v>156</v>
      </c>
      <c r="H266" s="23" t="n">
        <v>109</v>
      </c>
      <c r="I266" s="23" t="n">
        <f aca="false">G266-H266</f>
        <v>47</v>
      </c>
      <c r="J266" s="21" t="str">
        <f aca="false">IF(I266&lt;50,"LOW-IN-STOCK","IN-STOCK")</f>
        <v>LOW-IN-STOCK</v>
      </c>
      <c r="K266" s="22" t="n">
        <f aca="false">E266*G266</f>
        <v>1043.64</v>
      </c>
      <c r="L266" s="22" t="n">
        <f aca="false">F266*H266</f>
        <v>1215.35</v>
      </c>
      <c r="M266" s="22" t="n">
        <f aca="false">L266-K266</f>
        <v>171.71</v>
      </c>
    </row>
    <row r="267" customFormat="false" ht="15" hidden="false" customHeight="false" outlineLevel="0" collapsed="false">
      <c r="A267" s="21" t="s">
        <v>433</v>
      </c>
      <c r="B267" s="21" t="s">
        <v>289</v>
      </c>
      <c r="C267" s="21" t="s">
        <v>148</v>
      </c>
      <c r="D267" s="21" t="s">
        <v>84</v>
      </c>
      <c r="E267" s="22" t="n">
        <v>42.3</v>
      </c>
      <c r="F267" s="22" t="n">
        <v>92.89</v>
      </c>
      <c r="G267" s="23" t="n">
        <v>288</v>
      </c>
      <c r="H267" s="23" t="n">
        <v>169</v>
      </c>
      <c r="I267" s="23" t="n">
        <f aca="false">G267-H267</f>
        <v>119</v>
      </c>
      <c r="J267" s="21" t="str">
        <f aca="false">IF(I267&lt;50,"LOW-IN-STOCK","IN-STOCK")</f>
        <v>IN-STOCK</v>
      </c>
      <c r="K267" s="22" t="n">
        <f aca="false">E267*G267</f>
        <v>12182.4</v>
      </c>
      <c r="L267" s="22" t="n">
        <f aca="false">F267*H267</f>
        <v>15698.41</v>
      </c>
      <c r="M267" s="22" t="n">
        <f aca="false">L267-K267</f>
        <v>3516.01</v>
      </c>
    </row>
    <row r="268" customFormat="false" ht="15" hidden="false" customHeight="false" outlineLevel="0" collapsed="false">
      <c r="A268" s="21" t="s">
        <v>434</v>
      </c>
      <c r="B268" s="21" t="s">
        <v>78</v>
      </c>
      <c r="C268" s="21" t="s">
        <v>79</v>
      </c>
      <c r="D268" s="21" t="s">
        <v>88</v>
      </c>
      <c r="E268" s="22" t="n">
        <v>18.2</v>
      </c>
      <c r="F268" s="22" t="n">
        <v>24</v>
      </c>
      <c r="G268" s="23" t="n">
        <v>375</v>
      </c>
      <c r="H268" s="23" t="n">
        <v>274</v>
      </c>
      <c r="I268" s="23" t="n">
        <f aca="false">G268-H268</f>
        <v>101</v>
      </c>
      <c r="J268" s="21" t="str">
        <f aca="false">IF(I268&lt;50,"LOW-IN-STOCK","IN-STOCK")</f>
        <v>IN-STOCK</v>
      </c>
      <c r="K268" s="22" t="n">
        <f aca="false">E268*G268</f>
        <v>6825</v>
      </c>
      <c r="L268" s="22" t="n">
        <f aca="false">F268*H268</f>
        <v>6576</v>
      </c>
      <c r="M268" s="22" t="n">
        <f aca="false">L268-K268</f>
        <v>-249</v>
      </c>
    </row>
    <row r="269" customFormat="false" ht="15" hidden="false" customHeight="false" outlineLevel="0" collapsed="false">
      <c r="A269" s="21" t="s">
        <v>435</v>
      </c>
      <c r="B269" s="21" t="s">
        <v>112</v>
      </c>
      <c r="C269" s="21" t="s">
        <v>113</v>
      </c>
      <c r="D269" s="21" t="s">
        <v>114</v>
      </c>
      <c r="E269" s="22" t="n">
        <v>12.8</v>
      </c>
      <c r="F269" s="22" t="n">
        <v>21.71</v>
      </c>
      <c r="G269" s="23" t="n">
        <v>382</v>
      </c>
      <c r="H269" s="23" t="n">
        <v>42</v>
      </c>
      <c r="I269" s="23" t="n">
        <f aca="false">G269-H269</f>
        <v>340</v>
      </c>
      <c r="J269" s="21" t="str">
        <f aca="false">IF(I269&lt;50,"LOW-IN-STOCK","IN-STOCK")</f>
        <v>IN-STOCK</v>
      </c>
      <c r="K269" s="22" t="n">
        <f aca="false">E269*G269</f>
        <v>4889.6</v>
      </c>
      <c r="L269" s="22" t="n">
        <f aca="false">F269*H269</f>
        <v>911.82</v>
      </c>
      <c r="M269" s="22" t="n">
        <f aca="false">L269-K269</f>
        <v>-3977.78</v>
      </c>
    </row>
    <row r="270" customFormat="false" ht="15" hidden="false" customHeight="false" outlineLevel="0" collapsed="false">
      <c r="A270" s="21" t="s">
        <v>436</v>
      </c>
      <c r="B270" s="21" t="s">
        <v>97</v>
      </c>
      <c r="C270" s="21" t="s">
        <v>83</v>
      </c>
      <c r="D270" s="21" t="s">
        <v>84</v>
      </c>
      <c r="E270" s="22" t="n">
        <v>23.19</v>
      </c>
      <c r="F270" s="22" t="n">
        <v>39.67</v>
      </c>
      <c r="G270" s="23" t="n">
        <v>121</v>
      </c>
      <c r="H270" s="23" t="n">
        <v>29</v>
      </c>
      <c r="I270" s="23" t="n">
        <f aca="false">G270-H270</f>
        <v>92</v>
      </c>
      <c r="J270" s="21" t="str">
        <f aca="false">IF(I270&lt;50,"LOW-IN-STOCK","IN-STOCK")</f>
        <v>IN-STOCK</v>
      </c>
      <c r="K270" s="22" t="n">
        <f aca="false">E270*G270</f>
        <v>2805.99</v>
      </c>
      <c r="L270" s="22" t="n">
        <f aca="false">F270*H270</f>
        <v>1150.43</v>
      </c>
      <c r="M270" s="22" t="n">
        <f aca="false">L270-K270</f>
        <v>-1655.56</v>
      </c>
    </row>
    <row r="271" customFormat="false" ht="15" hidden="false" customHeight="false" outlineLevel="0" collapsed="false">
      <c r="A271" s="21" t="s">
        <v>437</v>
      </c>
      <c r="B271" s="21" t="s">
        <v>82</v>
      </c>
      <c r="C271" s="21" t="s">
        <v>83</v>
      </c>
      <c r="D271" s="21" t="s">
        <v>80</v>
      </c>
      <c r="E271" s="22" t="n">
        <v>5.09</v>
      </c>
      <c r="F271" s="22" t="n">
        <v>8.63</v>
      </c>
      <c r="G271" s="23" t="n">
        <v>168</v>
      </c>
      <c r="H271" s="23" t="n">
        <v>129</v>
      </c>
      <c r="I271" s="23" t="n">
        <f aca="false">G271-H271</f>
        <v>39</v>
      </c>
      <c r="J271" s="21" t="str">
        <f aca="false">IF(I271&lt;50,"LOW-IN-STOCK","IN-STOCK")</f>
        <v>LOW-IN-STOCK</v>
      </c>
      <c r="K271" s="22" t="n">
        <f aca="false">E271*G271</f>
        <v>855.12</v>
      </c>
      <c r="L271" s="22" t="n">
        <f aca="false">F271*H271</f>
        <v>1113.27</v>
      </c>
      <c r="M271" s="22" t="n">
        <f aca="false">L271-K271</f>
        <v>258.15</v>
      </c>
    </row>
    <row r="272" customFormat="false" ht="15" hidden="false" customHeight="false" outlineLevel="0" collapsed="false">
      <c r="A272" s="21" t="s">
        <v>438</v>
      </c>
      <c r="B272" s="21" t="s">
        <v>246</v>
      </c>
      <c r="C272" s="21" t="s">
        <v>75</v>
      </c>
      <c r="D272" s="21" t="s">
        <v>160</v>
      </c>
      <c r="E272" s="22" t="n">
        <v>14.44</v>
      </c>
      <c r="F272" s="22" t="n">
        <v>20.67</v>
      </c>
      <c r="G272" s="23" t="n">
        <v>409</v>
      </c>
      <c r="H272" s="23" t="n">
        <v>351</v>
      </c>
      <c r="I272" s="23" t="n">
        <f aca="false">G272-H272</f>
        <v>58</v>
      </c>
      <c r="J272" s="21" t="str">
        <f aca="false">IF(I272&lt;50,"LOW-IN-STOCK","IN-STOCK")</f>
        <v>IN-STOCK</v>
      </c>
      <c r="K272" s="22" t="n">
        <f aca="false">E272*G272</f>
        <v>5905.96</v>
      </c>
      <c r="L272" s="22" t="n">
        <f aca="false">F272*H272</f>
        <v>7255.17</v>
      </c>
      <c r="M272" s="22" t="n">
        <f aca="false">L272-K272</f>
        <v>1349.21</v>
      </c>
    </row>
    <row r="273" customFormat="false" ht="15" hidden="false" customHeight="false" outlineLevel="0" collapsed="false">
      <c r="A273" s="21" t="s">
        <v>439</v>
      </c>
      <c r="B273" s="21" t="s">
        <v>188</v>
      </c>
      <c r="C273" s="21" t="s">
        <v>113</v>
      </c>
      <c r="D273" s="21" t="s">
        <v>102</v>
      </c>
      <c r="E273" s="22" t="n">
        <v>29.72</v>
      </c>
      <c r="F273" s="22" t="n">
        <v>45.88</v>
      </c>
      <c r="G273" s="23" t="n">
        <v>60</v>
      </c>
      <c r="H273" s="23" t="n">
        <v>23</v>
      </c>
      <c r="I273" s="23" t="n">
        <f aca="false">G273-H273</f>
        <v>37</v>
      </c>
      <c r="J273" s="21" t="str">
        <f aca="false">IF(I273&lt;50,"LOW-IN-STOCK","IN-STOCK")</f>
        <v>LOW-IN-STOCK</v>
      </c>
      <c r="K273" s="22" t="n">
        <f aca="false">E273*G273</f>
        <v>1783.2</v>
      </c>
      <c r="L273" s="22" t="n">
        <f aca="false">F273*H273</f>
        <v>1055.24</v>
      </c>
      <c r="M273" s="22" t="n">
        <f aca="false">L273-K273</f>
        <v>-727.96</v>
      </c>
    </row>
    <row r="274" customFormat="false" ht="15" hidden="false" customHeight="false" outlineLevel="0" collapsed="false">
      <c r="A274" s="21" t="s">
        <v>440</v>
      </c>
      <c r="B274" s="21" t="s">
        <v>204</v>
      </c>
      <c r="C274" s="21" t="s">
        <v>148</v>
      </c>
      <c r="D274" s="21" t="s">
        <v>137</v>
      </c>
      <c r="E274" s="22" t="n">
        <v>19.43</v>
      </c>
      <c r="F274" s="22" t="n">
        <v>30.37</v>
      </c>
      <c r="G274" s="23" t="n">
        <v>105</v>
      </c>
      <c r="H274" s="23" t="n">
        <v>16</v>
      </c>
      <c r="I274" s="23" t="n">
        <f aca="false">G274-H274</f>
        <v>89</v>
      </c>
      <c r="J274" s="21" t="str">
        <f aca="false">IF(I274&lt;50,"LOW-IN-STOCK","IN-STOCK")</f>
        <v>IN-STOCK</v>
      </c>
      <c r="K274" s="22" t="n">
        <f aca="false">E274*G274</f>
        <v>2040.15</v>
      </c>
      <c r="L274" s="22" t="n">
        <f aca="false">F274*H274</f>
        <v>485.92</v>
      </c>
      <c r="M274" s="22" t="n">
        <f aca="false">L274-K274</f>
        <v>-1554.23</v>
      </c>
    </row>
    <row r="275" customFormat="false" ht="15" hidden="false" customHeight="false" outlineLevel="0" collapsed="false">
      <c r="A275" s="21" t="s">
        <v>441</v>
      </c>
      <c r="B275" s="21" t="s">
        <v>82</v>
      </c>
      <c r="C275" s="21" t="s">
        <v>83</v>
      </c>
      <c r="D275" s="21" t="s">
        <v>80</v>
      </c>
      <c r="E275" s="22" t="n">
        <v>24.79</v>
      </c>
      <c r="F275" s="22" t="n">
        <v>46.55</v>
      </c>
      <c r="G275" s="23" t="n">
        <v>499</v>
      </c>
      <c r="H275" s="23" t="n">
        <v>135</v>
      </c>
      <c r="I275" s="23" t="n">
        <f aca="false">G275-H275</f>
        <v>364</v>
      </c>
      <c r="J275" s="21" t="str">
        <f aca="false">IF(I275&lt;50,"LOW-IN-STOCK","IN-STOCK")</f>
        <v>IN-STOCK</v>
      </c>
      <c r="K275" s="22" t="n">
        <f aca="false">E275*G275</f>
        <v>12370.21</v>
      </c>
      <c r="L275" s="22" t="n">
        <f aca="false">F275*H275</f>
        <v>6284.25</v>
      </c>
      <c r="M275" s="22" t="n">
        <f aca="false">L275-K275</f>
        <v>-6085.96</v>
      </c>
    </row>
    <row r="276" customFormat="false" ht="15" hidden="false" customHeight="false" outlineLevel="0" collapsed="false">
      <c r="A276" s="21" t="s">
        <v>442</v>
      </c>
      <c r="B276" s="21" t="s">
        <v>411</v>
      </c>
      <c r="C276" s="21" t="s">
        <v>107</v>
      </c>
      <c r="D276" s="21" t="s">
        <v>108</v>
      </c>
      <c r="E276" s="22" t="n">
        <v>5.34</v>
      </c>
      <c r="F276" s="22" t="n">
        <v>7.82</v>
      </c>
      <c r="G276" s="23" t="n">
        <v>271</v>
      </c>
      <c r="H276" s="23" t="n">
        <v>224</v>
      </c>
      <c r="I276" s="23" t="n">
        <f aca="false">G276-H276</f>
        <v>47</v>
      </c>
      <c r="J276" s="21" t="str">
        <f aca="false">IF(I276&lt;50,"LOW-IN-STOCK","IN-STOCK")</f>
        <v>LOW-IN-STOCK</v>
      </c>
      <c r="K276" s="22" t="n">
        <f aca="false">E276*G276</f>
        <v>1447.14</v>
      </c>
      <c r="L276" s="22" t="n">
        <f aca="false">F276*H276</f>
        <v>1751.68</v>
      </c>
      <c r="M276" s="22" t="n">
        <f aca="false">L276-K276</f>
        <v>304.54</v>
      </c>
    </row>
    <row r="277" customFormat="false" ht="15" hidden="false" customHeight="false" outlineLevel="0" collapsed="false">
      <c r="A277" s="21" t="s">
        <v>443</v>
      </c>
      <c r="B277" s="21" t="s">
        <v>227</v>
      </c>
      <c r="C277" s="21" t="s">
        <v>148</v>
      </c>
      <c r="D277" s="21" t="s">
        <v>160</v>
      </c>
      <c r="E277" s="22" t="n">
        <v>4.49</v>
      </c>
      <c r="F277" s="22" t="n">
        <v>9.87</v>
      </c>
      <c r="G277" s="23" t="n">
        <v>58</v>
      </c>
      <c r="H277" s="23" t="n">
        <v>48</v>
      </c>
      <c r="I277" s="23" t="n">
        <f aca="false">G277-H277</f>
        <v>10</v>
      </c>
      <c r="J277" s="21" t="str">
        <f aca="false">IF(I277&lt;50,"LOW-IN-STOCK","IN-STOCK")</f>
        <v>LOW-IN-STOCK</v>
      </c>
      <c r="K277" s="22" t="n">
        <f aca="false">E277*G277</f>
        <v>260.42</v>
      </c>
      <c r="L277" s="22" t="n">
        <f aca="false">F277*H277</f>
        <v>473.76</v>
      </c>
      <c r="M277" s="22" t="n">
        <f aca="false">L277-K277</f>
        <v>213.34</v>
      </c>
    </row>
    <row r="278" customFormat="false" ht="15" hidden="false" customHeight="false" outlineLevel="0" collapsed="false">
      <c r="A278" s="21" t="s">
        <v>444</v>
      </c>
      <c r="B278" s="21" t="s">
        <v>136</v>
      </c>
      <c r="C278" s="21" t="s">
        <v>87</v>
      </c>
      <c r="D278" s="21" t="s">
        <v>84</v>
      </c>
      <c r="E278" s="22" t="n">
        <v>20.93</v>
      </c>
      <c r="F278" s="22" t="n">
        <v>36.58</v>
      </c>
      <c r="G278" s="23" t="n">
        <v>356</v>
      </c>
      <c r="H278" s="23" t="n">
        <v>116</v>
      </c>
      <c r="I278" s="23" t="n">
        <f aca="false">G278-H278</f>
        <v>240</v>
      </c>
      <c r="J278" s="21" t="str">
        <f aca="false">IF(I278&lt;50,"LOW-IN-STOCK","IN-STOCK")</f>
        <v>IN-STOCK</v>
      </c>
      <c r="K278" s="22" t="n">
        <f aca="false">E278*G278</f>
        <v>7451.08</v>
      </c>
      <c r="L278" s="22" t="n">
        <f aca="false">F278*H278</f>
        <v>4243.28</v>
      </c>
      <c r="M278" s="22" t="n">
        <f aca="false">L278-K278</f>
        <v>-3207.8</v>
      </c>
    </row>
    <row r="279" customFormat="false" ht="15" hidden="false" customHeight="false" outlineLevel="0" collapsed="false">
      <c r="A279" s="21" t="s">
        <v>445</v>
      </c>
      <c r="B279" s="21" t="s">
        <v>154</v>
      </c>
      <c r="C279" s="21" t="s">
        <v>93</v>
      </c>
      <c r="D279" s="21" t="s">
        <v>114</v>
      </c>
      <c r="E279" s="22" t="n">
        <v>6.22</v>
      </c>
      <c r="F279" s="22" t="n">
        <v>12.75</v>
      </c>
      <c r="G279" s="23" t="n">
        <v>271</v>
      </c>
      <c r="H279" s="23" t="n">
        <v>159</v>
      </c>
      <c r="I279" s="23" t="n">
        <f aca="false">G279-H279</f>
        <v>112</v>
      </c>
      <c r="J279" s="21" t="str">
        <f aca="false">IF(I279&lt;50,"LOW-IN-STOCK","IN-STOCK")</f>
        <v>IN-STOCK</v>
      </c>
      <c r="K279" s="22" t="n">
        <f aca="false">E279*G279</f>
        <v>1685.62</v>
      </c>
      <c r="L279" s="22" t="n">
        <f aca="false">F279*H279</f>
        <v>2027.25</v>
      </c>
      <c r="M279" s="22" t="n">
        <f aca="false">L279-K279</f>
        <v>341.63</v>
      </c>
    </row>
    <row r="280" customFormat="false" ht="15" hidden="false" customHeight="false" outlineLevel="0" collapsed="false">
      <c r="A280" s="21" t="s">
        <v>446</v>
      </c>
      <c r="B280" s="21" t="s">
        <v>447</v>
      </c>
      <c r="C280" s="21" t="s">
        <v>148</v>
      </c>
      <c r="D280" s="21" t="s">
        <v>114</v>
      </c>
      <c r="E280" s="22" t="n">
        <v>16.51</v>
      </c>
      <c r="F280" s="22" t="n">
        <v>30.78</v>
      </c>
      <c r="G280" s="23" t="n">
        <v>148</v>
      </c>
      <c r="H280" s="23" t="n">
        <v>135</v>
      </c>
      <c r="I280" s="23" t="n">
        <f aca="false">G280-H280</f>
        <v>13</v>
      </c>
      <c r="J280" s="21" t="str">
        <f aca="false">IF(I280&lt;50,"LOW-IN-STOCK","IN-STOCK")</f>
        <v>LOW-IN-STOCK</v>
      </c>
      <c r="K280" s="22" t="n">
        <f aca="false">E280*G280</f>
        <v>2443.48</v>
      </c>
      <c r="L280" s="22" t="n">
        <f aca="false">F280*H280</f>
        <v>4155.3</v>
      </c>
      <c r="M280" s="22" t="n">
        <f aca="false">L280-K280</f>
        <v>1711.82</v>
      </c>
    </row>
    <row r="281" customFormat="false" ht="15" hidden="false" customHeight="false" outlineLevel="0" collapsed="false">
      <c r="A281" s="21" t="s">
        <v>448</v>
      </c>
      <c r="B281" s="21" t="s">
        <v>229</v>
      </c>
      <c r="C281" s="21" t="s">
        <v>113</v>
      </c>
      <c r="D281" s="21" t="s">
        <v>114</v>
      </c>
      <c r="E281" s="22" t="n">
        <v>24.98</v>
      </c>
      <c r="F281" s="22" t="n">
        <v>32.72</v>
      </c>
      <c r="G281" s="23" t="n">
        <v>387</v>
      </c>
      <c r="H281" s="23" t="n">
        <v>75</v>
      </c>
      <c r="I281" s="23" t="n">
        <f aca="false">G281-H281</f>
        <v>312</v>
      </c>
      <c r="J281" s="21" t="str">
        <f aca="false">IF(I281&lt;50,"LOW-IN-STOCK","IN-STOCK")</f>
        <v>IN-STOCK</v>
      </c>
      <c r="K281" s="22" t="n">
        <f aca="false">E281*G281</f>
        <v>9667.26</v>
      </c>
      <c r="L281" s="22" t="n">
        <f aca="false">F281*H281</f>
        <v>2454</v>
      </c>
      <c r="M281" s="22" t="n">
        <f aca="false">L281-K281</f>
        <v>-7213.26</v>
      </c>
    </row>
    <row r="282" customFormat="false" ht="15" hidden="false" customHeight="false" outlineLevel="0" collapsed="false">
      <c r="A282" s="21" t="s">
        <v>449</v>
      </c>
      <c r="B282" s="21" t="s">
        <v>159</v>
      </c>
      <c r="C282" s="21" t="s">
        <v>93</v>
      </c>
      <c r="D282" s="21" t="s">
        <v>80</v>
      </c>
      <c r="E282" s="22" t="n">
        <v>11.18</v>
      </c>
      <c r="F282" s="22" t="n">
        <v>24.42</v>
      </c>
      <c r="G282" s="23" t="n">
        <v>285</v>
      </c>
      <c r="H282" s="23" t="n">
        <v>40</v>
      </c>
      <c r="I282" s="23" t="n">
        <f aca="false">G282-H282</f>
        <v>245</v>
      </c>
      <c r="J282" s="21" t="str">
        <f aca="false">IF(I282&lt;50,"LOW-IN-STOCK","IN-STOCK")</f>
        <v>IN-STOCK</v>
      </c>
      <c r="K282" s="22" t="n">
        <f aca="false">E282*G282</f>
        <v>3186.3</v>
      </c>
      <c r="L282" s="22" t="n">
        <f aca="false">F282*H282</f>
        <v>976.8</v>
      </c>
      <c r="M282" s="22" t="n">
        <f aca="false">L282-K282</f>
        <v>-2209.5</v>
      </c>
    </row>
    <row r="283" customFormat="false" ht="15" hidden="false" customHeight="false" outlineLevel="0" collapsed="false">
      <c r="A283" s="21" t="s">
        <v>450</v>
      </c>
      <c r="B283" s="21" t="s">
        <v>207</v>
      </c>
      <c r="C283" s="21" t="s">
        <v>93</v>
      </c>
      <c r="D283" s="21" t="s">
        <v>160</v>
      </c>
      <c r="E283" s="22" t="n">
        <v>3.92</v>
      </c>
      <c r="F283" s="22" t="n">
        <v>5.34</v>
      </c>
      <c r="G283" s="23" t="n">
        <v>277</v>
      </c>
      <c r="H283" s="23" t="n">
        <v>177</v>
      </c>
      <c r="I283" s="23" t="n">
        <f aca="false">G283-H283</f>
        <v>100</v>
      </c>
      <c r="J283" s="21" t="str">
        <f aca="false">IF(I283&lt;50,"LOW-IN-STOCK","IN-STOCK")</f>
        <v>IN-STOCK</v>
      </c>
      <c r="K283" s="22" t="n">
        <f aca="false">E283*G283</f>
        <v>1085.84</v>
      </c>
      <c r="L283" s="22" t="n">
        <f aca="false">F283*H283</f>
        <v>945.18</v>
      </c>
      <c r="M283" s="22" t="n">
        <f aca="false">L283-K283</f>
        <v>-140.66</v>
      </c>
    </row>
    <row r="284" customFormat="false" ht="15" hidden="false" customHeight="false" outlineLevel="0" collapsed="false">
      <c r="A284" s="21" t="s">
        <v>451</v>
      </c>
      <c r="B284" s="21" t="s">
        <v>147</v>
      </c>
      <c r="C284" s="21" t="s">
        <v>148</v>
      </c>
      <c r="D284" s="21" t="s">
        <v>99</v>
      </c>
      <c r="E284" s="22" t="n">
        <v>19.16</v>
      </c>
      <c r="F284" s="22" t="n">
        <v>30.17</v>
      </c>
      <c r="G284" s="23" t="n">
        <v>359</v>
      </c>
      <c r="H284" s="23" t="n">
        <v>327</v>
      </c>
      <c r="I284" s="23" t="n">
        <f aca="false">G284-H284</f>
        <v>32</v>
      </c>
      <c r="J284" s="21" t="str">
        <f aca="false">IF(I284&lt;50,"LOW-IN-STOCK","IN-STOCK")</f>
        <v>LOW-IN-STOCK</v>
      </c>
      <c r="K284" s="22" t="n">
        <f aca="false">E284*G284</f>
        <v>6878.44</v>
      </c>
      <c r="L284" s="22" t="n">
        <f aca="false">F284*H284</f>
        <v>9865.59</v>
      </c>
      <c r="M284" s="22" t="n">
        <f aca="false">L284-K284</f>
        <v>2987.15</v>
      </c>
    </row>
    <row r="285" customFormat="false" ht="15" hidden="false" customHeight="false" outlineLevel="0" collapsed="false">
      <c r="A285" s="21" t="s">
        <v>452</v>
      </c>
      <c r="B285" s="21" t="s">
        <v>447</v>
      </c>
      <c r="C285" s="21" t="s">
        <v>148</v>
      </c>
      <c r="D285" s="21" t="s">
        <v>99</v>
      </c>
      <c r="E285" s="22" t="n">
        <v>61.97</v>
      </c>
      <c r="F285" s="22" t="n">
        <v>110.17</v>
      </c>
      <c r="G285" s="23" t="n">
        <v>466</v>
      </c>
      <c r="H285" s="23" t="n">
        <v>246</v>
      </c>
      <c r="I285" s="23" t="n">
        <f aca="false">G285-H285</f>
        <v>220</v>
      </c>
      <c r="J285" s="21" t="str">
        <f aca="false">IF(I285&lt;50,"LOW-IN-STOCK","IN-STOCK")</f>
        <v>IN-STOCK</v>
      </c>
      <c r="K285" s="22" t="n">
        <f aca="false">E285*G285</f>
        <v>28878.02</v>
      </c>
      <c r="L285" s="22" t="n">
        <f aca="false">F285*H285</f>
        <v>27101.82</v>
      </c>
      <c r="M285" s="22" t="n">
        <f aca="false">L285-K285</f>
        <v>-1776.2</v>
      </c>
    </row>
    <row r="286" customFormat="false" ht="15" hidden="false" customHeight="false" outlineLevel="0" collapsed="false">
      <c r="A286" s="21" t="s">
        <v>453</v>
      </c>
      <c r="B286" s="21" t="s">
        <v>287</v>
      </c>
      <c r="C286" s="21" t="s">
        <v>87</v>
      </c>
      <c r="D286" s="21" t="s">
        <v>137</v>
      </c>
      <c r="E286" s="22" t="n">
        <v>9.62</v>
      </c>
      <c r="F286" s="22" t="n">
        <v>21.04</v>
      </c>
      <c r="G286" s="23" t="n">
        <v>394</v>
      </c>
      <c r="H286" s="23" t="n">
        <v>96</v>
      </c>
      <c r="I286" s="23" t="n">
        <f aca="false">G286-H286</f>
        <v>298</v>
      </c>
      <c r="J286" s="21" t="str">
        <f aca="false">IF(I286&lt;50,"LOW-IN-STOCK","IN-STOCK")</f>
        <v>IN-STOCK</v>
      </c>
      <c r="K286" s="22" t="n">
        <f aca="false">E286*G286</f>
        <v>3790.28</v>
      </c>
      <c r="L286" s="22" t="n">
        <f aca="false">F286*H286</f>
        <v>2019.84</v>
      </c>
      <c r="M286" s="22" t="n">
        <f aca="false">L286-K286</f>
        <v>-1770.44</v>
      </c>
    </row>
    <row r="287" customFormat="false" ht="15" hidden="false" customHeight="false" outlineLevel="0" collapsed="false">
      <c r="A287" s="21" t="s">
        <v>454</v>
      </c>
      <c r="B287" s="21" t="s">
        <v>227</v>
      </c>
      <c r="C287" s="21" t="s">
        <v>148</v>
      </c>
      <c r="D287" s="21" t="s">
        <v>80</v>
      </c>
      <c r="E287" s="22" t="n">
        <v>14.38</v>
      </c>
      <c r="F287" s="22" t="n">
        <v>21.65</v>
      </c>
      <c r="G287" s="23" t="n">
        <v>240</v>
      </c>
      <c r="H287" s="23" t="n">
        <v>35</v>
      </c>
      <c r="I287" s="23" t="n">
        <f aca="false">G287-H287</f>
        <v>205</v>
      </c>
      <c r="J287" s="21" t="str">
        <f aca="false">IF(I287&lt;50,"LOW-IN-STOCK","IN-STOCK")</f>
        <v>IN-STOCK</v>
      </c>
      <c r="K287" s="22" t="n">
        <f aca="false">E287*G287</f>
        <v>3451.2</v>
      </c>
      <c r="L287" s="22" t="n">
        <f aca="false">F287*H287</f>
        <v>757.75</v>
      </c>
      <c r="M287" s="22" t="n">
        <f aca="false">L287-K287</f>
        <v>-2693.45</v>
      </c>
    </row>
    <row r="288" customFormat="false" ht="15" hidden="false" customHeight="false" outlineLevel="0" collapsed="false">
      <c r="A288" s="21" t="s">
        <v>455</v>
      </c>
      <c r="B288" s="21" t="s">
        <v>239</v>
      </c>
      <c r="C288" s="21" t="s">
        <v>113</v>
      </c>
      <c r="D288" s="21" t="s">
        <v>102</v>
      </c>
      <c r="E288" s="22" t="n">
        <v>13.89</v>
      </c>
      <c r="F288" s="22" t="n">
        <v>22.67</v>
      </c>
      <c r="G288" s="23" t="n">
        <v>388</v>
      </c>
      <c r="H288" s="23" t="n">
        <v>67</v>
      </c>
      <c r="I288" s="23" t="n">
        <f aca="false">G288-H288</f>
        <v>321</v>
      </c>
      <c r="J288" s="21" t="str">
        <f aca="false">IF(I288&lt;50,"LOW-IN-STOCK","IN-STOCK")</f>
        <v>IN-STOCK</v>
      </c>
      <c r="K288" s="22" t="n">
        <f aca="false">E288*G288</f>
        <v>5389.32</v>
      </c>
      <c r="L288" s="22" t="n">
        <f aca="false">F288*H288</f>
        <v>1518.89</v>
      </c>
      <c r="M288" s="22" t="n">
        <f aca="false">L288-K288</f>
        <v>-3870.43</v>
      </c>
    </row>
    <row r="289" customFormat="false" ht="15" hidden="false" customHeight="false" outlineLevel="0" collapsed="false">
      <c r="A289" s="21" t="s">
        <v>456</v>
      </c>
      <c r="B289" s="21" t="s">
        <v>227</v>
      </c>
      <c r="C289" s="21" t="s">
        <v>148</v>
      </c>
      <c r="D289" s="21" t="s">
        <v>102</v>
      </c>
      <c r="E289" s="22" t="n">
        <v>33.11</v>
      </c>
      <c r="F289" s="22" t="n">
        <v>61.05</v>
      </c>
      <c r="G289" s="23" t="n">
        <v>81</v>
      </c>
      <c r="H289" s="23" t="n">
        <v>38</v>
      </c>
      <c r="I289" s="23" t="n">
        <f aca="false">G289-H289</f>
        <v>43</v>
      </c>
      <c r="J289" s="21" t="str">
        <f aca="false">IF(I289&lt;50,"LOW-IN-STOCK","IN-STOCK")</f>
        <v>LOW-IN-STOCK</v>
      </c>
      <c r="K289" s="22" t="n">
        <f aca="false">E289*G289</f>
        <v>2681.91</v>
      </c>
      <c r="L289" s="22" t="n">
        <f aca="false">F289*H289</f>
        <v>2319.9</v>
      </c>
      <c r="M289" s="22" t="n">
        <f aca="false">L289-K289</f>
        <v>-362.01</v>
      </c>
    </row>
    <row r="290" customFormat="false" ht="15" hidden="false" customHeight="false" outlineLevel="0" collapsed="false">
      <c r="A290" s="21" t="s">
        <v>457</v>
      </c>
      <c r="B290" s="21" t="s">
        <v>92</v>
      </c>
      <c r="C290" s="21" t="s">
        <v>93</v>
      </c>
      <c r="D290" s="21" t="s">
        <v>160</v>
      </c>
      <c r="E290" s="22" t="n">
        <v>6.43</v>
      </c>
      <c r="F290" s="22" t="n">
        <v>8.79</v>
      </c>
      <c r="G290" s="23" t="n">
        <v>350</v>
      </c>
      <c r="H290" s="23" t="n">
        <v>280</v>
      </c>
      <c r="I290" s="23" t="n">
        <f aca="false">G290-H290</f>
        <v>70</v>
      </c>
      <c r="J290" s="21" t="str">
        <f aca="false">IF(I290&lt;50,"LOW-IN-STOCK","IN-STOCK")</f>
        <v>IN-STOCK</v>
      </c>
      <c r="K290" s="22" t="n">
        <f aca="false">E290*G290</f>
        <v>2250.5</v>
      </c>
      <c r="L290" s="22" t="n">
        <f aca="false">F290*H290</f>
        <v>2461.2</v>
      </c>
      <c r="M290" s="22" t="n">
        <f aca="false">L290-K290</f>
        <v>210.7</v>
      </c>
    </row>
    <row r="291" customFormat="false" ht="15" hidden="false" customHeight="false" outlineLevel="0" collapsed="false">
      <c r="A291" s="21" t="s">
        <v>458</v>
      </c>
      <c r="B291" s="21" t="s">
        <v>216</v>
      </c>
      <c r="C291" s="21" t="s">
        <v>107</v>
      </c>
      <c r="D291" s="21" t="s">
        <v>102</v>
      </c>
      <c r="E291" s="22" t="n">
        <v>1.17</v>
      </c>
      <c r="F291" s="22" t="n">
        <v>1.55</v>
      </c>
      <c r="G291" s="23" t="n">
        <v>251</v>
      </c>
      <c r="H291" s="23" t="n">
        <v>122</v>
      </c>
      <c r="I291" s="23" t="n">
        <f aca="false">G291-H291</f>
        <v>129</v>
      </c>
      <c r="J291" s="21" t="str">
        <f aca="false">IF(I291&lt;50,"LOW-IN-STOCK","IN-STOCK")</f>
        <v>IN-STOCK</v>
      </c>
      <c r="K291" s="22" t="n">
        <f aca="false">E291*G291</f>
        <v>293.67</v>
      </c>
      <c r="L291" s="22" t="n">
        <f aca="false">F291*H291</f>
        <v>189.1</v>
      </c>
      <c r="M291" s="22" t="n">
        <f aca="false">L291-K291</f>
        <v>-104.57</v>
      </c>
    </row>
    <row r="292" customFormat="false" ht="15" hidden="false" customHeight="false" outlineLevel="0" collapsed="false">
      <c r="A292" s="21" t="s">
        <v>459</v>
      </c>
      <c r="B292" s="21" t="s">
        <v>232</v>
      </c>
      <c r="C292" s="21" t="s">
        <v>79</v>
      </c>
      <c r="D292" s="21" t="s">
        <v>102</v>
      </c>
      <c r="E292" s="22" t="n">
        <v>1.5</v>
      </c>
      <c r="F292" s="22" t="n">
        <v>2.36</v>
      </c>
      <c r="G292" s="23" t="n">
        <v>326</v>
      </c>
      <c r="H292" s="23" t="n">
        <v>39</v>
      </c>
      <c r="I292" s="23" t="n">
        <f aca="false">G292-H292</f>
        <v>287</v>
      </c>
      <c r="J292" s="21" t="str">
        <f aca="false">IF(I292&lt;50,"LOW-IN-STOCK","IN-STOCK")</f>
        <v>IN-STOCK</v>
      </c>
      <c r="K292" s="22" t="n">
        <f aca="false">E292*G292</f>
        <v>489</v>
      </c>
      <c r="L292" s="22" t="n">
        <f aca="false">F292*H292</f>
        <v>92.04</v>
      </c>
      <c r="M292" s="22" t="n">
        <f aca="false">L292-K292</f>
        <v>-396.96</v>
      </c>
    </row>
    <row r="293" customFormat="false" ht="15" hidden="false" customHeight="false" outlineLevel="0" collapsed="false">
      <c r="A293" s="21" t="s">
        <v>460</v>
      </c>
      <c r="B293" s="21" t="s">
        <v>306</v>
      </c>
      <c r="C293" s="21" t="s">
        <v>93</v>
      </c>
      <c r="D293" s="21" t="s">
        <v>137</v>
      </c>
      <c r="E293" s="22" t="n">
        <v>9.77</v>
      </c>
      <c r="F293" s="22" t="n">
        <v>13.64</v>
      </c>
      <c r="G293" s="23" t="n">
        <v>346</v>
      </c>
      <c r="H293" s="23" t="n">
        <v>122</v>
      </c>
      <c r="I293" s="23" t="n">
        <f aca="false">G293-H293</f>
        <v>224</v>
      </c>
      <c r="J293" s="21" t="str">
        <f aca="false">IF(I293&lt;50,"LOW-IN-STOCK","IN-STOCK")</f>
        <v>IN-STOCK</v>
      </c>
      <c r="K293" s="22" t="n">
        <f aca="false">E293*G293</f>
        <v>3380.42</v>
      </c>
      <c r="L293" s="22" t="n">
        <f aca="false">F293*H293</f>
        <v>1664.08</v>
      </c>
      <c r="M293" s="22" t="n">
        <f aca="false">L293-K293</f>
        <v>-1716.34</v>
      </c>
    </row>
    <row r="294" customFormat="false" ht="15" hidden="false" customHeight="false" outlineLevel="0" collapsed="false">
      <c r="A294" s="21" t="s">
        <v>461</v>
      </c>
      <c r="B294" s="21" t="s">
        <v>166</v>
      </c>
      <c r="C294" s="21" t="s">
        <v>93</v>
      </c>
      <c r="D294" s="21" t="s">
        <v>80</v>
      </c>
      <c r="E294" s="22" t="n">
        <v>6.55</v>
      </c>
      <c r="F294" s="22" t="n">
        <v>9.36</v>
      </c>
      <c r="G294" s="23" t="n">
        <v>430</v>
      </c>
      <c r="H294" s="23" t="n">
        <v>287</v>
      </c>
      <c r="I294" s="23" t="n">
        <f aca="false">G294-H294</f>
        <v>143</v>
      </c>
      <c r="J294" s="21" t="str">
        <f aca="false">IF(I294&lt;50,"LOW-IN-STOCK","IN-STOCK")</f>
        <v>IN-STOCK</v>
      </c>
      <c r="K294" s="22" t="n">
        <f aca="false">E294*G294</f>
        <v>2816.5</v>
      </c>
      <c r="L294" s="22" t="n">
        <f aca="false">F294*H294</f>
        <v>2686.32</v>
      </c>
      <c r="M294" s="22" t="n">
        <f aca="false">L294-K294</f>
        <v>-130.18</v>
      </c>
    </row>
    <row r="295" customFormat="false" ht="15" hidden="false" customHeight="false" outlineLevel="0" collapsed="false">
      <c r="A295" s="21" t="s">
        <v>462</v>
      </c>
      <c r="B295" s="21" t="s">
        <v>447</v>
      </c>
      <c r="C295" s="21" t="s">
        <v>148</v>
      </c>
      <c r="D295" s="21" t="s">
        <v>84</v>
      </c>
      <c r="E295" s="22" t="n">
        <v>5.01</v>
      </c>
      <c r="F295" s="22" t="n">
        <v>6.53</v>
      </c>
      <c r="G295" s="23" t="n">
        <v>286</v>
      </c>
      <c r="H295" s="23" t="n">
        <v>132</v>
      </c>
      <c r="I295" s="23" t="n">
        <f aca="false">G295-H295</f>
        <v>154</v>
      </c>
      <c r="J295" s="21" t="str">
        <f aca="false">IF(I295&lt;50,"LOW-IN-STOCK","IN-STOCK")</f>
        <v>IN-STOCK</v>
      </c>
      <c r="K295" s="22" t="n">
        <f aca="false">E295*G295</f>
        <v>1432.86</v>
      </c>
      <c r="L295" s="22" t="n">
        <f aca="false">F295*H295</f>
        <v>861.96</v>
      </c>
      <c r="M295" s="22" t="n">
        <f aca="false">L295-K295</f>
        <v>-570.9</v>
      </c>
    </row>
    <row r="296" customFormat="false" ht="15" hidden="false" customHeight="false" outlineLevel="0" collapsed="false">
      <c r="A296" s="21" t="s">
        <v>463</v>
      </c>
      <c r="B296" s="21" t="s">
        <v>126</v>
      </c>
      <c r="C296" s="21" t="s">
        <v>79</v>
      </c>
      <c r="D296" s="21" t="s">
        <v>102</v>
      </c>
      <c r="E296" s="22" t="n">
        <v>10.38</v>
      </c>
      <c r="F296" s="22" t="n">
        <v>21.98</v>
      </c>
      <c r="G296" s="23" t="n">
        <v>394</v>
      </c>
      <c r="H296" s="23" t="n">
        <v>339</v>
      </c>
      <c r="I296" s="23" t="n">
        <f aca="false">G296-H296</f>
        <v>55</v>
      </c>
      <c r="J296" s="21" t="str">
        <f aca="false">IF(I296&lt;50,"LOW-IN-STOCK","IN-STOCK")</f>
        <v>IN-STOCK</v>
      </c>
      <c r="K296" s="22" t="n">
        <f aca="false">E296*G296</f>
        <v>4089.72</v>
      </c>
      <c r="L296" s="22" t="n">
        <f aca="false">F296*H296</f>
        <v>7451.22</v>
      </c>
      <c r="M296" s="22" t="n">
        <f aca="false">L296-K296</f>
        <v>3361.5</v>
      </c>
    </row>
    <row r="297" customFormat="false" ht="15" hidden="false" customHeight="false" outlineLevel="0" collapsed="false">
      <c r="A297" s="21" t="s">
        <v>464</v>
      </c>
      <c r="B297" s="21" t="s">
        <v>188</v>
      </c>
      <c r="C297" s="21" t="s">
        <v>113</v>
      </c>
      <c r="D297" s="21" t="s">
        <v>99</v>
      </c>
      <c r="E297" s="22" t="n">
        <v>15.51</v>
      </c>
      <c r="F297" s="22" t="n">
        <v>30.54</v>
      </c>
      <c r="G297" s="23" t="n">
        <v>343</v>
      </c>
      <c r="H297" s="23" t="n">
        <v>139</v>
      </c>
      <c r="I297" s="23" t="n">
        <f aca="false">G297-H297</f>
        <v>204</v>
      </c>
      <c r="J297" s="21" t="str">
        <f aca="false">IF(I297&lt;50,"LOW-IN-STOCK","IN-STOCK")</f>
        <v>IN-STOCK</v>
      </c>
      <c r="K297" s="22" t="n">
        <f aca="false">E297*G297</f>
        <v>5319.93</v>
      </c>
      <c r="L297" s="22" t="n">
        <f aca="false">F297*H297</f>
        <v>4245.06</v>
      </c>
      <c r="M297" s="22" t="n">
        <f aca="false">L297-K297</f>
        <v>-1074.87</v>
      </c>
    </row>
    <row r="298" customFormat="false" ht="15" hidden="false" customHeight="false" outlineLevel="0" collapsed="false">
      <c r="A298" s="21" t="s">
        <v>465</v>
      </c>
      <c r="B298" s="21" t="s">
        <v>466</v>
      </c>
      <c r="C298" s="21" t="s">
        <v>79</v>
      </c>
      <c r="D298" s="21" t="s">
        <v>84</v>
      </c>
      <c r="E298" s="22" t="n">
        <v>2.87</v>
      </c>
      <c r="F298" s="22" t="n">
        <v>4.81</v>
      </c>
      <c r="G298" s="23" t="n">
        <v>77</v>
      </c>
      <c r="H298" s="23" t="n">
        <v>60</v>
      </c>
      <c r="I298" s="23" t="n">
        <f aca="false">G298-H298</f>
        <v>17</v>
      </c>
      <c r="J298" s="21" t="str">
        <f aca="false">IF(I298&lt;50,"LOW-IN-STOCK","IN-STOCK")</f>
        <v>LOW-IN-STOCK</v>
      </c>
      <c r="K298" s="22" t="n">
        <f aca="false">E298*G298</f>
        <v>220.99</v>
      </c>
      <c r="L298" s="22" t="n">
        <f aca="false">F298*H298</f>
        <v>288.6</v>
      </c>
      <c r="M298" s="22" t="n">
        <f aca="false">L298-K298</f>
        <v>67.61</v>
      </c>
    </row>
    <row r="299" customFormat="false" ht="15" hidden="false" customHeight="false" outlineLevel="0" collapsed="false">
      <c r="A299" s="21" t="s">
        <v>467</v>
      </c>
      <c r="B299" s="21" t="s">
        <v>174</v>
      </c>
      <c r="C299" s="21" t="s">
        <v>113</v>
      </c>
      <c r="D299" s="21" t="s">
        <v>137</v>
      </c>
      <c r="E299" s="22" t="n">
        <v>13.12</v>
      </c>
      <c r="F299" s="22" t="n">
        <v>23.27</v>
      </c>
      <c r="G299" s="23" t="n">
        <v>211</v>
      </c>
      <c r="H299" s="23" t="n">
        <v>109</v>
      </c>
      <c r="I299" s="23" t="n">
        <f aca="false">G299-H299</f>
        <v>102</v>
      </c>
      <c r="J299" s="21" t="str">
        <f aca="false">IF(I299&lt;50,"LOW-IN-STOCK","IN-STOCK")</f>
        <v>IN-STOCK</v>
      </c>
      <c r="K299" s="22" t="n">
        <f aca="false">E299*G299</f>
        <v>2768.32</v>
      </c>
      <c r="L299" s="22" t="n">
        <f aca="false">F299*H299</f>
        <v>2536.43</v>
      </c>
      <c r="M299" s="22" t="n">
        <f aca="false">L299-K299</f>
        <v>-231.89</v>
      </c>
    </row>
    <row r="300" customFormat="false" ht="15" hidden="false" customHeight="false" outlineLevel="0" collapsed="false">
      <c r="A300" s="21" t="s">
        <v>468</v>
      </c>
      <c r="B300" s="21" t="s">
        <v>145</v>
      </c>
      <c r="C300" s="21" t="s">
        <v>87</v>
      </c>
      <c r="D300" s="21" t="s">
        <v>99</v>
      </c>
      <c r="E300" s="22" t="n">
        <v>14.1</v>
      </c>
      <c r="F300" s="22" t="n">
        <v>22.51</v>
      </c>
      <c r="G300" s="23" t="n">
        <v>458</v>
      </c>
      <c r="H300" s="23" t="n">
        <v>157</v>
      </c>
      <c r="I300" s="23" t="n">
        <f aca="false">G300-H300</f>
        <v>301</v>
      </c>
      <c r="J300" s="21" t="str">
        <f aca="false">IF(I300&lt;50,"LOW-IN-STOCK","IN-STOCK")</f>
        <v>IN-STOCK</v>
      </c>
      <c r="K300" s="22" t="n">
        <f aca="false">E300*G300</f>
        <v>6457.8</v>
      </c>
      <c r="L300" s="22" t="n">
        <f aca="false">F300*H300</f>
        <v>3534.07</v>
      </c>
      <c r="M300" s="22" t="n">
        <f aca="false">L300-K300</f>
        <v>-2923.73</v>
      </c>
    </row>
    <row r="301" customFormat="false" ht="15" hidden="false" customHeight="false" outlineLevel="0" collapsed="false">
      <c r="A301" s="21" t="s">
        <v>469</v>
      </c>
      <c r="B301" s="21" t="s">
        <v>143</v>
      </c>
      <c r="C301" s="21" t="s">
        <v>107</v>
      </c>
      <c r="D301" s="21" t="s">
        <v>160</v>
      </c>
      <c r="E301" s="22" t="n">
        <v>9.77</v>
      </c>
      <c r="F301" s="22" t="n">
        <v>13.09</v>
      </c>
      <c r="G301" s="23" t="n">
        <v>480</v>
      </c>
      <c r="H301" s="23" t="n">
        <v>412</v>
      </c>
      <c r="I301" s="23" t="n">
        <f aca="false">G301-H301</f>
        <v>68</v>
      </c>
      <c r="J301" s="21" t="str">
        <f aca="false">IF(I301&lt;50,"LOW-IN-STOCK","IN-STOCK")</f>
        <v>IN-STOCK</v>
      </c>
      <c r="K301" s="22" t="n">
        <f aca="false">E301*G301</f>
        <v>4689.6</v>
      </c>
      <c r="L301" s="22" t="n">
        <f aca="false">F301*H301</f>
        <v>5393.08</v>
      </c>
      <c r="M301" s="22" t="n">
        <f aca="false">L301-K301</f>
        <v>703.480000000001</v>
      </c>
    </row>
    <row r="302" customFormat="false" ht="15" hidden="false" customHeight="false" outlineLevel="0" collapsed="false">
      <c r="A302" s="21" t="s">
        <v>470</v>
      </c>
      <c r="B302" s="21" t="s">
        <v>227</v>
      </c>
      <c r="C302" s="21" t="s">
        <v>148</v>
      </c>
      <c r="D302" s="21" t="s">
        <v>137</v>
      </c>
      <c r="E302" s="22" t="n">
        <v>52.97</v>
      </c>
      <c r="F302" s="22" t="n">
        <v>90.15</v>
      </c>
      <c r="G302" s="23" t="n">
        <v>301</v>
      </c>
      <c r="H302" s="23" t="n">
        <v>236</v>
      </c>
      <c r="I302" s="23" t="n">
        <f aca="false">G302-H302</f>
        <v>65</v>
      </c>
      <c r="J302" s="21" t="str">
        <f aca="false">IF(I302&lt;50,"LOW-IN-STOCK","IN-STOCK")</f>
        <v>IN-STOCK</v>
      </c>
      <c r="K302" s="22" t="n">
        <f aca="false">E302*G302</f>
        <v>15943.97</v>
      </c>
      <c r="L302" s="22" t="n">
        <f aca="false">F302*H302</f>
        <v>21275.4</v>
      </c>
      <c r="M302" s="22" t="n">
        <f aca="false">L302-K302</f>
        <v>5331.43</v>
      </c>
    </row>
    <row r="303" customFormat="false" ht="15" hidden="false" customHeight="false" outlineLevel="0" collapsed="false">
      <c r="A303" s="21" t="s">
        <v>471</v>
      </c>
      <c r="B303" s="21" t="s">
        <v>122</v>
      </c>
      <c r="C303" s="21" t="s">
        <v>75</v>
      </c>
      <c r="D303" s="21" t="s">
        <v>137</v>
      </c>
      <c r="E303" s="22" t="n">
        <v>7.51</v>
      </c>
      <c r="F303" s="22" t="n">
        <v>15.1</v>
      </c>
      <c r="G303" s="23" t="n">
        <v>259</v>
      </c>
      <c r="H303" s="23" t="n">
        <v>56</v>
      </c>
      <c r="I303" s="23" t="n">
        <f aca="false">G303-H303</f>
        <v>203</v>
      </c>
      <c r="J303" s="21" t="str">
        <f aca="false">IF(I303&lt;50,"LOW-IN-STOCK","IN-STOCK")</f>
        <v>IN-STOCK</v>
      </c>
      <c r="K303" s="22" t="n">
        <f aca="false">E303*G303</f>
        <v>1945.09</v>
      </c>
      <c r="L303" s="22" t="n">
        <f aca="false">F303*H303</f>
        <v>845.6</v>
      </c>
      <c r="M303" s="22" t="n">
        <f aca="false">L303-K303</f>
        <v>-1099.49</v>
      </c>
    </row>
    <row r="304" customFormat="false" ht="15" hidden="false" customHeight="false" outlineLevel="0" collapsed="false">
      <c r="A304" s="21" t="s">
        <v>472</v>
      </c>
      <c r="B304" s="21" t="s">
        <v>129</v>
      </c>
      <c r="C304" s="21" t="s">
        <v>83</v>
      </c>
      <c r="D304" s="21" t="s">
        <v>84</v>
      </c>
      <c r="E304" s="22" t="n">
        <v>14.61</v>
      </c>
      <c r="F304" s="22" t="n">
        <v>19.39</v>
      </c>
      <c r="G304" s="23" t="n">
        <v>32</v>
      </c>
      <c r="H304" s="23" t="n">
        <v>9</v>
      </c>
      <c r="I304" s="23" t="n">
        <f aca="false">G304-H304</f>
        <v>23</v>
      </c>
      <c r="J304" s="21" t="str">
        <f aca="false">IF(I304&lt;50,"LOW-IN-STOCK","IN-STOCK")</f>
        <v>LOW-IN-STOCK</v>
      </c>
      <c r="K304" s="22" t="n">
        <f aca="false">E304*G304</f>
        <v>467.52</v>
      </c>
      <c r="L304" s="22" t="n">
        <f aca="false">F304*H304</f>
        <v>174.51</v>
      </c>
      <c r="M304" s="22" t="n">
        <f aca="false">L304-K304</f>
        <v>-293.01</v>
      </c>
    </row>
    <row r="305" customFormat="false" ht="15" hidden="false" customHeight="false" outlineLevel="0" collapsed="false">
      <c r="A305" s="21" t="s">
        <v>473</v>
      </c>
      <c r="B305" s="21" t="s">
        <v>176</v>
      </c>
      <c r="C305" s="21" t="s">
        <v>83</v>
      </c>
      <c r="D305" s="21" t="s">
        <v>99</v>
      </c>
      <c r="E305" s="22" t="n">
        <v>7.42</v>
      </c>
      <c r="F305" s="22" t="n">
        <v>12.12</v>
      </c>
      <c r="G305" s="23" t="n">
        <v>93</v>
      </c>
      <c r="H305" s="23" t="n">
        <v>17</v>
      </c>
      <c r="I305" s="23" t="n">
        <f aca="false">G305-H305</f>
        <v>76</v>
      </c>
      <c r="J305" s="21" t="str">
        <f aca="false">IF(I305&lt;50,"LOW-IN-STOCK","IN-STOCK")</f>
        <v>IN-STOCK</v>
      </c>
      <c r="K305" s="22" t="n">
        <f aca="false">E305*G305</f>
        <v>690.06</v>
      </c>
      <c r="L305" s="22" t="n">
        <f aca="false">F305*H305</f>
        <v>206.04</v>
      </c>
      <c r="M305" s="22" t="n">
        <f aca="false">L305-K305</f>
        <v>-484.02</v>
      </c>
    </row>
    <row r="306" customFormat="false" ht="15" hidden="false" customHeight="false" outlineLevel="0" collapsed="false">
      <c r="A306" s="21" t="s">
        <v>474</v>
      </c>
      <c r="B306" s="21" t="s">
        <v>154</v>
      </c>
      <c r="C306" s="21" t="s">
        <v>93</v>
      </c>
      <c r="D306" s="21" t="s">
        <v>137</v>
      </c>
      <c r="E306" s="22" t="n">
        <v>2.88</v>
      </c>
      <c r="F306" s="22" t="n">
        <v>4.03</v>
      </c>
      <c r="G306" s="23" t="n">
        <v>321</v>
      </c>
      <c r="H306" s="23" t="n">
        <v>215</v>
      </c>
      <c r="I306" s="23" t="n">
        <f aca="false">G306-H306</f>
        <v>106</v>
      </c>
      <c r="J306" s="21" t="str">
        <f aca="false">IF(I306&lt;50,"LOW-IN-STOCK","IN-STOCK")</f>
        <v>IN-STOCK</v>
      </c>
      <c r="K306" s="22" t="n">
        <f aca="false">E306*G306</f>
        <v>924.48</v>
      </c>
      <c r="L306" s="22" t="n">
        <f aca="false">F306*H306</f>
        <v>866.45</v>
      </c>
      <c r="M306" s="22" t="n">
        <f aca="false">L306-K306</f>
        <v>-58.03</v>
      </c>
    </row>
    <row r="307" customFormat="false" ht="15" hidden="false" customHeight="false" outlineLevel="0" collapsed="false">
      <c r="A307" s="21" t="s">
        <v>475</v>
      </c>
      <c r="B307" s="21" t="s">
        <v>289</v>
      </c>
      <c r="C307" s="21" t="s">
        <v>148</v>
      </c>
      <c r="D307" s="21" t="s">
        <v>114</v>
      </c>
      <c r="E307" s="22" t="n">
        <v>20.08</v>
      </c>
      <c r="F307" s="22" t="n">
        <v>40.9</v>
      </c>
      <c r="G307" s="23" t="n">
        <v>69</v>
      </c>
      <c r="H307" s="23" t="n">
        <v>54</v>
      </c>
      <c r="I307" s="23" t="n">
        <f aca="false">G307-H307</f>
        <v>15</v>
      </c>
      <c r="J307" s="21" t="str">
        <f aca="false">IF(I307&lt;50,"LOW-IN-STOCK","IN-STOCK")</f>
        <v>LOW-IN-STOCK</v>
      </c>
      <c r="K307" s="22" t="n">
        <f aca="false">E307*G307</f>
        <v>1385.52</v>
      </c>
      <c r="L307" s="22" t="n">
        <f aca="false">F307*H307</f>
        <v>2208.6</v>
      </c>
      <c r="M307" s="22" t="n">
        <f aca="false">L307-K307</f>
        <v>823.08</v>
      </c>
    </row>
    <row r="308" customFormat="false" ht="15" hidden="false" customHeight="false" outlineLevel="0" collapsed="false">
      <c r="A308" s="21" t="s">
        <v>476</v>
      </c>
      <c r="B308" s="21" t="s">
        <v>95</v>
      </c>
      <c r="C308" s="21" t="s">
        <v>75</v>
      </c>
      <c r="D308" s="21" t="s">
        <v>108</v>
      </c>
      <c r="E308" s="22" t="n">
        <v>21.68</v>
      </c>
      <c r="F308" s="22" t="n">
        <v>43.86</v>
      </c>
      <c r="G308" s="23" t="n">
        <v>198</v>
      </c>
      <c r="H308" s="23" t="n">
        <v>58</v>
      </c>
      <c r="I308" s="23" t="n">
        <f aca="false">G308-H308</f>
        <v>140</v>
      </c>
      <c r="J308" s="21" t="str">
        <f aca="false">IF(I308&lt;50,"LOW-IN-STOCK","IN-STOCK")</f>
        <v>IN-STOCK</v>
      </c>
      <c r="K308" s="22" t="n">
        <f aca="false">E308*G308</f>
        <v>4292.64</v>
      </c>
      <c r="L308" s="22" t="n">
        <f aca="false">F308*H308</f>
        <v>2543.88</v>
      </c>
      <c r="M308" s="22" t="n">
        <f aca="false">L308-K308</f>
        <v>-1748.76</v>
      </c>
    </row>
    <row r="309" customFormat="false" ht="15" hidden="false" customHeight="false" outlineLevel="0" collapsed="false">
      <c r="A309" s="21" t="s">
        <v>477</v>
      </c>
      <c r="B309" s="21" t="s">
        <v>150</v>
      </c>
      <c r="C309" s="21" t="s">
        <v>148</v>
      </c>
      <c r="D309" s="21" t="s">
        <v>88</v>
      </c>
      <c r="E309" s="22" t="n">
        <v>7.98</v>
      </c>
      <c r="F309" s="22" t="n">
        <v>16.9</v>
      </c>
      <c r="G309" s="23" t="n">
        <v>327</v>
      </c>
      <c r="H309" s="23" t="n">
        <v>81</v>
      </c>
      <c r="I309" s="23" t="n">
        <f aca="false">G309-H309</f>
        <v>246</v>
      </c>
      <c r="J309" s="21" t="str">
        <f aca="false">IF(I309&lt;50,"LOW-IN-STOCK","IN-STOCK")</f>
        <v>IN-STOCK</v>
      </c>
      <c r="K309" s="22" t="n">
        <f aca="false">E309*G309</f>
        <v>2609.46</v>
      </c>
      <c r="L309" s="22" t="n">
        <f aca="false">F309*H309</f>
        <v>1368.9</v>
      </c>
      <c r="M309" s="22" t="n">
        <f aca="false">L309-K309</f>
        <v>-1240.56</v>
      </c>
    </row>
    <row r="310" customFormat="false" ht="15" hidden="false" customHeight="false" outlineLevel="0" collapsed="false">
      <c r="A310" s="21" t="s">
        <v>478</v>
      </c>
      <c r="B310" s="21" t="s">
        <v>139</v>
      </c>
      <c r="C310" s="21" t="s">
        <v>75</v>
      </c>
      <c r="D310" s="21" t="s">
        <v>160</v>
      </c>
      <c r="E310" s="22" t="n">
        <v>10.96</v>
      </c>
      <c r="F310" s="22" t="n">
        <v>20.34</v>
      </c>
      <c r="G310" s="23" t="n">
        <v>442</v>
      </c>
      <c r="H310" s="23" t="n">
        <v>373</v>
      </c>
      <c r="I310" s="23" t="n">
        <f aca="false">G310-H310</f>
        <v>69</v>
      </c>
      <c r="J310" s="21" t="str">
        <f aca="false">IF(I310&lt;50,"LOW-IN-STOCK","IN-STOCK")</f>
        <v>IN-STOCK</v>
      </c>
      <c r="K310" s="22" t="n">
        <f aca="false">E310*G310</f>
        <v>4844.32</v>
      </c>
      <c r="L310" s="22" t="n">
        <f aca="false">F310*H310</f>
        <v>7586.82</v>
      </c>
      <c r="M310" s="22" t="n">
        <f aca="false">L310-K310</f>
        <v>2742.5</v>
      </c>
    </row>
    <row r="311" customFormat="false" ht="15" hidden="false" customHeight="false" outlineLevel="0" collapsed="false">
      <c r="A311" s="21" t="s">
        <v>479</v>
      </c>
      <c r="B311" s="21" t="s">
        <v>280</v>
      </c>
      <c r="C311" s="21" t="s">
        <v>83</v>
      </c>
      <c r="D311" s="21" t="s">
        <v>84</v>
      </c>
      <c r="E311" s="22" t="n">
        <v>24.93</v>
      </c>
      <c r="F311" s="22" t="n">
        <v>42.84</v>
      </c>
      <c r="G311" s="23" t="n">
        <v>130</v>
      </c>
      <c r="H311" s="23" t="n">
        <v>111</v>
      </c>
      <c r="I311" s="23" t="n">
        <f aca="false">G311-H311</f>
        <v>19</v>
      </c>
      <c r="J311" s="21" t="str">
        <f aca="false">IF(I311&lt;50,"LOW-IN-STOCK","IN-STOCK")</f>
        <v>LOW-IN-STOCK</v>
      </c>
      <c r="K311" s="22" t="n">
        <f aca="false">E311*G311</f>
        <v>3240.9</v>
      </c>
      <c r="L311" s="22" t="n">
        <f aca="false">F311*H311</f>
        <v>4755.24</v>
      </c>
      <c r="M311" s="22" t="n">
        <f aca="false">L311-K311</f>
        <v>1514.34</v>
      </c>
    </row>
    <row r="312" customFormat="false" ht="15" hidden="false" customHeight="false" outlineLevel="0" collapsed="false">
      <c r="A312" s="21" t="s">
        <v>480</v>
      </c>
      <c r="B312" s="21" t="s">
        <v>481</v>
      </c>
      <c r="C312" s="21" t="s">
        <v>93</v>
      </c>
      <c r="D312" s="21" t="s">
        <v>84</v>
      </c>
      <c r="E312" s="22" t="n">
        <v>8.24</v>
      </c>
      <c r="F312" s="22" t="n">
        <v>16.43</v>
      </c>
      <c r="G312" s="23" t="n">
        <v>247</v>
      </c>
      <c r="H312" s="23" t="n">
        <v>70</v>
      </c>
      <c r="I312" s="23" t="n">
        <f aca="false">G312-H312</f>
        <v>177</v>
      </c>
      <c r="J312" s="21" t="str">
        <f aca="false">IF(I312&lt;50,"LOW-IN-STOCK","IN-STOCK")</f>
        <v>IN-STOCK</v>
      </c>
      <c r="K312" s="22" t="n">
        <f aca="false">E312*G312</f>
        <v>2035.28</v>
      </c>
      <c r="L312" s="22" t="n">
        <f aca="false">F312*H312</f>
        <v>1150.1</v>
      </c>
      <c r="M312" s="22" t="n">
        <f aca="false">L312-K312</f>
        <v>-885.18</v>
      </c>
    </row>
    <row r="313" customFormat="false" ht="15" hidden="false" customHeight="false" outlineLevel="0" collapsed="false">
      <c r="A313" s="21" t="s">
        <v>482</v>
      </c>
      <c r="B313" s="21" t="s">
        <v>250</v>
      </c>
      <c r="C313" s="21" t="s">
        <v>79</v>
      </c>
      <c r="D313" s="21" t="s">
        <v>137</v>
      </c>
      <c r="E313" s="22" t="n">
        <v>19.6</v>
      </c>
      <c r="F313" s="22" t="n">
        <v>37.42</v>
      </c>
      <c r="G313" s="23" t="n">
        <v>293</v>
      </c>
      <c r="H313" s="23" t="n">
        <v>81</v>
      </c>
      <c r="I313" s="23" t="n">
        <f aca="false">G313-H313</f>
        <v>212</v>
      </c>
      <c r="J313" s="21" t="str">
        <f aca="false">IF(I313&lt;50,"LOW-IN-STOCK","IN-STOCK")</f>
        <v>IN-STOCK</v>
      </c>
      <c r="K313" s="22" t="n">
        <f aca="false">E313*G313</f>
        <v>5742.8</v>
      </c>
      <c r="L313" s="22" t="n">
        <f aca="false">F313*H313</f>
        <v>3031.02</v>
      </c>
      <c r="M313" s="22" t="n">
        <f aca="false">L313-K313</f>
        <v>-2711.78</v>
      </c>
    </row>
    <row r="314" customFormat="false" ht="15" hidden="false" customHeight="false" outlineLevel="0" collapsed="false">
      <c r="A314" s="21" t="s">
        <v>483</v>
      </c>
      <c r="B314" s="21" t="s">
        <v>120</v>
      </c>
      <c r="C314" s="21" t="s">
        <v>107</v>
      </c>
      <c r="D314" s="21" t="s">
        <v>108</v>
      </c>
      <c r="E314" s="22" t="n">
        <v>6.18</v>
      </c>
      <c r="F314" s="22" t="n">
        <v>10.83</v>
      </c>
      <c r="G314" s="23" t="n">
        <v>137</v>
      </c>
      <c r="H314" s="23" t="n">
        <v>52</v>
      </c>
      <c r="I314" s="23" t="n">
        <f aca="false">G314-H314</f>
        <v>85</v>
      </c>
      <c r="J314" s="21" t="str">
        <f aca="false">IF(I314&lt;50,"LOW-IN-STOCK","IN-STOCK")</f>
        <v>IN-STOCK</v>
      </c>
      <c r="K314" s="22" t="n">
        <f aca="false">E314*G314</f>
        <v>846.66</v>
      </c>
      <c r="L314" s="22" t="n">
        <f aca="false">F314*H314</f>
        <v>563.16</v>
      </c>
      <c r="M314" s="22" t="n">
        <f aca="false">L314-K314</f>
        <v>-283.5</v>
      </c>
    </row>
    <row r="315" customFormat="false" ht="15" hidden="false" customHeight="false" outlineLevel="0" collapsed="false">
      <c r="A315" s="21" t="s">
        <v>484</v>
      </c>
      <c r="B315" s="21" t="s">
        <v>232</v>
      </c>
      <c r="C315" s="21" t="s">
        <v>79</v>
      </c>
      <c r="D315" s="21" t="s">
        <v>102</v>
      </c>
      <c r="E315" s="22" t="n">
        <v>6.53</v>
      </c>
      <c r="F315" s="22" t="n">
        <v>10.9</v>
      </c>
      <c r="G315" s="23" t="n">
        <v>335</v>
      </c>
      <c r="H315" s="23" t="n">
        <v>243</v>
      </c>
      <c r="I315" s="23" t="n">
        <f aca="false">G315-H315</f>
        <v>92</v>
      </c>
      <c r="J315" s="21" t="str">
        <f aca="false">IF(I315&lt;50,"LOW-IN-STOCK","IN-STOCK")</f>
        <v>IN-STOCK</v>
      </c>
      <c r="K315" s="22" t="n">
        <f aca="false">E315*G315</f>
        <v>2187.55</v>
      </c>
      <c r="L315" s="22" t="n">
        <f aca="false">F315*H315</f>
        <v>2648.7</v>
      </c>
      <c r="M315" s="22" t="n">
        <f aca="false">L315-K315</f>
        <v>461.15</v>
      </c>
    </row>
    <row r="316" customFormat="false" ht="15" hidden="false" customHeight="false" outlineLevel="0" collapsed="false">
      <c r="A316" s="21" t="s">
        <v>485</v>
      </c>
      <c r="B316" s="21" t="s">
        <v>188</v>
      </c>
      <c r="C316" s="21" t="s">
        <v>113</v>
      </c>
      <c r="D316" s="21" t="s">
        <v>114</v>
      </c>
      <c r="E316" s="22" t="n">
        <v>28.78</v>
      </c>
      <c r="F316" s="22" t="n">
        <v>47.33</v>
      </c>
      <c r="G316" s="23" t="n">
        <v>74</v>
      </c>
      <c r="H316" s="23" t="n">
        <v>44</v>
      </c>
      <c r="I316" s="23" t="n">
        <f aca="false">G316-H316</f>
        <v>30</v>
      </c>
      <c r="J316" s="21" t="str">
        <f aca="false">IF(I316&lt;50,"LOW-IN-STOCK","IN-STOCK")</f>
        <v>LOW-IN-STOCK</v>
      </c>
      <c r="K316" s="22" t="n">
        <f aca="false">E316*G316</f>
        <v>2129.72</v>
      </c>
      <c r="L316" s="22" t="n">
        <f aca="false">F316*H316</f>
        <v>2082.52</v>
      </c>
      <c r="M316" s="22" t="n">
        <f aca="false">L316-K316</f>
        <v>-47.2000000000003</v>
      </c>
    </row>
    <row r="317" customFormat="false" ht="15" hidden="false" customHeight="false" outlineLevel="0" collapsed="false">
      <c r="A317" s="21" t="s">
        <v>486</v>
      </c>
      <c r="B317" s="21" t="s">
        <v>246</v>
      </c>
      <c r="C317" s="21" t="s">
        <v>75</v>
      </c>
      <c r="D317" s="21" t="s">
        <v>84</v>
      </c>
      <c r="E317" s="22" t="n">
        <v>4.77</v>
      </c>
      <c r="F317" s="22" t="n">
        <v>8.43</v>
      </c>
      <c r="G317" s="23" t="n">
        <v>429</v>
      </c>
      <c r="H317" s="23" t="n">
        <v>145</v>
      </c>
      <c r="I317" s="23" t="n">
        <f aca="false">G317-H317</f>
        <v>284</v>
      </c>
      <c r="J317" s="21" t="str">
        <f aca="false">IF(I317&lt;50,"LOW-IN-STOCK","IN-STOCK")</f>
        <v>IN-STOCK</v>
      </c>
      <c r="K317" s="22" t="n">
        <f aca="false">E317*G317</f>
        <v>2046.33</v>
      </c>
      <c r="L317" s="22" t="n">
        <f aca="false">F317*H317</f>
        <v>1222.35</v>
      </c>
      <c r="M317" s="22" t="n">
        <f aca="false">L317-K317</f>
        <v>-823.98</v>
      </c>
    </row>
    <row r="318" customFormat="false" ht="15" hidden="false" customHeight="false" outlineLevel="0" collapsed="false">
      <c r="A318" s="21" t="s">
        <v>487</v>
      </c>
      <c r="B318" s="21" t="s">
        <v>106</v>
      </c>
      <c r="C318" s="21" t="s">
        <v>107</v>
      </c>
      <c r="D318" s="21" t="s">
        <v>114</v>
      </c>
      <c r="E318" s="22" t="n">
        <v>5.19</v>
      </c>
      <c r="F318" s="22" t="n">
        <v>9.69</v>
      </c>
      <c r="G318" s="23" t="n">
        <v>447</v>
      </c>
      <c r="H318" s="23" t="n">
        <v>205</v>
      </c>
      <c r="I318" s="23" t="n">
        <f aca="false">G318-H318</f>
        <v>242</v>
      </c>
      <c r="J318" s="21" t="str">
        <f aca="false">IF(I318&lt;50,"LOW-IN-STOCK","IN-STOCK")</f>
        <v>IN-STOCK</v>
      </c>
      <c r="K318" s="22" t="n">
        <f aca="false">E318*G318</f>
        <v>2319.93</v>
      </c>
      <c r="L318" s="22" t="n">
        <f aca="false">F318*H318</f>
        <v>1986.45</v>
      </c>
      <c r="M318" s="22" t="n">
        <f aca="false">L318-K318</f>
        <v>-333.480000000001</v>
      </c>
    </row>
    <row r="319" customFormat="false" ht="15" hidden="false" customHeight="false" outlineLevel="0" collapsed="false">
      <c r="A319" s="21" t="s">
        <v>488</v>
      </c>
      <c r="B319" s="21" t="s">
        <v>224</v>
      </c>
      <c r="C319" s="21" t="s">
        <v>79</v>
      </c>
      <c r="D319" s="21" t="s">
        <v>102</v>
      </c>
      <c r="E319" s="22" t="n">
        <v>1.25</v>
      </c>
      <c r="F319" s="22" t="n">
        <v>1.81</v>
      </c>
      <c r="G319" s="23" t="n">
        <v>468</v>
      </c>
      <c r="H319" s="23" t="n">
        <v>301</v>
      </c>
      <c r="I319" s="23" t="n">
        <f aca="false">G319-H319</f>
        <v>167</v>
      </c>
      <c r="J319" s="21" t="str">
        <f aca="false">IF(I319&lt;50,"LOW-IN-STOCK","IN-STOCK")</f>
        <v>IN-STOCK</v>
      </c>
      <c r="K319" s="22" t="n">
        <f aca="false">E319*G319</f>
        <v>585</v>
      </c>
      <c r="L319" s="22" t="n">
        <f aca="false">F319*H319</f>
        <v>544.81</v>
      </c>
      <c r="M319" s="22" t="n">
        <f aca="false">L319-K319</f>
        <v>-40.1899999999999</v>
      </c>
    </row>
    <row r="320" customFormat="false" ht="15" hidden="false" customHeight="false" outlineLevel="0" collapsed="false">
      <c r="A320" s="21" t="s">
        <v>489</v>
      </c>
      <c r="B320" s="21" t="s">
        <v>332</v>
      </c>
      <c r="C320" s="21" t="s">
        <v>107</v>
      </c>
      <c r="D320" s="21" t="s">
        <v>88</v>
      </c>
      <c r="E320" s="22" t="n">
        <v>2.44</v>
      </c>
      <c r="F320" s="22" t="n">
        <v>4.09</v>
      </c>
      <c r="G320" s="23" t="n">
        <v>184</v>
      </c>
      <c r="H320" s="23" t="n">
        <v>48</v>
      </c>
      <c r="I320" s="23" t="n">
        <f aca="false">G320-H320</f>
        <v>136</v>
      </c>
      <c r="J320" s="21" t="str">
        <f aca="false">IF(I320&lt;50,"LOW-IN-STOCK","IN-STOCK")</f>
        <v>IN-STOCK</v>
      </c>
      <c r="K320" s="22" t="n">
        <f aca="false">E320*G320</f>
        <v>448.96</v>
      </c>
      <c r="L320" s="22" t="n">
        <f aca="false">F320*H320</f>
        <v>196.32</v>
      </c>
      <c r="M320" s="22" t="n">
        <f aca="false">L320-K320</f>
        <v>-252.64</v>
      </c>
    </row>
    <row r="321" customFormat="false" ht="15" hidden="false" customHeight="false" outlineLevel="0" collapsed="false">
      <c r="A321" s="21" t="s">
        <v>490</v>
      </c>
      <c r="B321" s="21" t="s">
        <v>229</v>
      </c>
      <c r="C321" s="21" t="s">
        <v>113</v>
      </c>
      <c r="D321" s="21" t="s">
        <v>80</v>
      </c>
      <c r="E321" s="22" t="n">
        <v>24.29</v>
      </c>
      <c r="F321" s="22" t="n">
        <v>33.9</v>
      </c>
      <c r="G321" s="23" t="n">
        <v>101</v>
      </c>
      <c r="H321" s="23" t="n">
        <v>46</v>
      </c>
      <c r="I321" s="23" t="n">
        <f aca="false">G321-H321</f>
        <v>55</v>
      </c>
      <c r="J321" s="21" t="str">
        <f aca="false">IF(I321&lt;50,"LOW-IN-STOCK","IN-STOCK")</f>
        <v>IN-STOCK</v>
      </c>
      <c r="K321" s="22" t="n">
        <f aca="false">E321*G321</f>
        <v>2453.29</v>
      </c>
      <c r="L321" s="22" t="n">
        <f aca="false">F321*H321</f>
        <v>1559.4</v>
      </c>
      <c r="M321" s="22" t="n">
        <f aca="false">L321-K321</f>
        <v>-893.89</v>
      </c>
    </row>
    <row r="322" customFormat="false" ht="15" hidden="false" customHeight="false" outlineLevel="0" collapsed="false">
      <c r="A322" s="21" t="s">
        <v>491</v>
      </c>
      <c r="B322" s="21" t="s">
        <v>227</v>
      </c>
      <c r="C322" s="21" t="s">
        <v>148</v>
      </c>
      <c r="D322" s="21" t="s">
        <v>76</v>
      </c>
      <c r="E322" s="22" t="n">
        <v>56.25</v>
      </c>
      <c r="F322" s="22" t="n">
        <v>82.79</v>
      </c>
      <c r="G322" s="23" t="n">
        <v>141</v>
      </c>
      <c r="H322" s="23" t="n">
        <v>129</v>
      </c>
      <c r="I322" s="23" t="n">
        <f aca="false">G322-H322</f>
        <v>12</v>
      </c>
      <c r="J322" s="21" t="str">
        <f aca="false">IF(I322&lt;50,"LOW-IN-STOCK","IN-STOCK")</f>
        <v>LOW-IN-STOCK</v>
      </c>
      <c r="K322" s="22" t="n">
        <f aca="false">E322*G322</f>
        <v>7931.25</v>
      </c>
      <c r="L322" s="22" t="n">
        <f aca="false">F322*H322</f>
        <v>10679.91</v>
      </c>
      <c r="M322" s="22" t="n">
        <f aca="false">L322-K322</f>
        <v>2748.66</v>
      </c>
    </row>
    <row r="323" customFormat="false" ht="15" hidden="false" customHeight="false" outlineLevel="0" collapsed="false">
      <c r="A323" s="21" t="s">
        <v>492</v>
      </c>
      <c r="B323" s="21" t="s">
        <v>90</v>
      </c>
      <c r="C323" s="21" t="s">
        <v>75</v>
      </c>
      <c r="D323" s="21" t="s">
        <v>137</v>
      </c>
      <c r="E323" s="22" t="n">
        <v>7.98</v>
      </c>
      <c r="F323" s="22" t="n">
        <v>10.76</v>
      </c>
      <c r="G323" s="23" t="n">
        <v>199</v>
      </c>
      <c r="H323" s="23" t="n">
        <v>164</v>
      </c>
      <c r="I323" s="23" t="n">
        <f aca="false">G323-H323</f>
        <v>35</v>
      </c>
      <c r="J323" s="21" t="str">
        <f aca="false">IF(I323&lt;50,"LOW-IN-STOCK","IN-STOCK")</f>
        <v>LOW-IN-STOCK</v>
      </c>
      <c r="K323" s="22" t="n">
        <f aca="false">E323*G323</f>
        <v>1588.02</v>
      </c>
      <c r="L323" s="22" t="n">
        <f aca="false">F323*H323</f>
        <v>1764.64</v>
      </c>
      <c r="M323" s="22" t="n">
        <f aca="false">L323-K323</f>
        <v>176.62</v>
      </c>
    </row>
    <row r="324" customFormat="false" ht="15" hidden="false" customHeight="false" outlineLevel="0" collapsed="false">
      <c r="A324" s="21" t="s">
        <v>493</v>
      </c>
      <c r="B324" s="21" t="s">
        <v>287</v>
      </c>
      <c r="C324" s="21" t="s">
        <v>87</v>
      </c>
      <c r="D324" s="21" t="s">
        <v>76</v>
      </c>
      <c r="E324" s="22" t="n">
        <v>9.11</v>
      </c>
      <c r="F324" s="22" t="n">
        <v>19.87</v>
      </c>
      <c r="G324" s="23" t="n">
        <v>250</v>
      </c>
      <c r="H324" s="23" t="n">
        <v>96</v>
      </c>
      <c r="I324" s="23" t="n">
        <f aca="false">G324-H324</f>
        <v>154</v>
      </c>
      <c r="J324" s="21" t="str">
        <f aca="false">IF(I324&lt;50,"LOW-IN-STOCK","IN-STOCK")</f>
        <v>IN-STOCK</v>
      </c>
      <c r="K324" s="22" t="n">
        <f aca="false">E324*G324</f>
        <v>2277.5</v>
      </c>
      <c r="L324" s="22" t="n">
        <f aca="false">F324*H324</f>
        <v>1907.52</v>
      </c>
      <c r="M324" s="22" t="n">
        <f aca="false">L324-K324</f>
        <v>-369.98</v>
      </c>
    </row>
    <row r="325" customFormat="false" ht="15" hidden="false" customHeight="false" outlineLevel="0" collapsed="false">
      <c r="A325" s="21" t="s">
        <v>494</v>
      </c>
      <c r="B325" s="21" t="s">
        <v>97</v>
      </c>
      <c r="C325" s="21" t="s">
        <v>83</v>
      </c>
      <c r="D325" s="21" t="s">
        <v>88</v>
      </c>
      <c r="E325" s="22" t="n">
        <v>1.38</v>
      </c>
      <c r="F325" s="22" t="n">
        <v>2.96</v>
      </c>
      <c r="G325" s="23" t="n">
        <v>485</v>
      </c>
      <c r="H325" s="23" t="n">
        <v>296</v>
      </c>
      <c r="I325" s="23" t="n">
        <f aca="false">G325-H325</f>
        <v>189</v>
      </c>
      <c r="J325" s="21" t="str">
        <f aca="false">IF(I325&lt;50,"LOW-IN-STOCK","IN-STOCK")</f>
        <v>IN-STOCK</v>
      </c>
      <c r="K325" s="22" t="n">
        <f aca="false">E325*G325</f>
        <v>669.3</v>
      </c>
      <c r="L325" s="22" t="n">
        <f aca="false">F325*H325</f>
        <v>876.16</v>
      </c>
      <c r="M325" s="22" t="n">
        <f aca="false">L325-K325</f>
        <v>206.86</v>
      </c>
    </row>
    <row r="326" customFormat="false" ht="15" hidden="false" customHeight="false" outlineLevel="0" collapsed="false">
      <c r="A326" s="21" t="s">
        <v>495</v>
      </c>
      <c r="B326" s="21" t="s">
        <v>188</v>
      </c>
      <c r="C326" s="21" t="s">
        <v>113</v>
      </c>
      <c r="D326" s="21" t="s">
        <v>88</v>
      </c>
      <c r="E326" s="22" t="n">
        <v>26.15</v>
      </c>
      <c r="F326" s="22" t="n">
        <v>50.63</v>
      </c>
      <c r="G326" s="23" t="n">
        <v>33</v>
      </c>
      <c r="H326" s="23" t="n">
        <v>10</v>
      </c>
      <c r="I326" s="23" t="n">
        <f aca="false">G326-H326</f>
        <v>23</v>
      </c>
      <c r="J326" s="21" t="str">
        <f aca="false">IF(I326&lt;50,"LOW-IN-STOCK","IN-STOCK")</f>
        <v>LOW-IN-STOCK</v>
      </c>
      <c r="K326" s="22" t="n">
        <f aca="false">E326*G326</f>
        <v>862.95</v>
      </c>
      <c r="L326" s="22" t="n">
        <f aca="false">F326*H326</f>
        <v>506.3</v>
      </c>
      <c r="M326" s="22" t="n">
        <f aca="false">L326-K326</f>
        <v>-356.65</v>
      </c>
    </row>
    <row r="327" customFormat="false" ht="15" hidden="false" customHeight="false" outlineLevel="0" collapsed="false">
      <c r="A327" s="21" t="s">
        <v>496</v>
      </c>
      <c r="B327" s="21" t="s">
        <v>126</v>
      </c>
      <c r="C327" s="21" t="s">
        <v>79</v>
      </c>
      <c r="D327" s="21" t="s">
        <v>108</v>
      </c>
      <c r="E327" s="22" t="n">
        <v>2.57</v>
      </c>
      <c r="F327" s="22" t="n">
        <v>3.93</v>
      </c>
      <c r="G327" s="23" t="n">
        <v>45</v>
      </c>
      <c r="H327" s="23" t="n">
        <v>26</v>
      </c>
      <c r="I327" s="23" t="n">
        <f aca="false">G327-H327</f>
        <v>19</v>
      </c>
      <c r="J327" s="21" t="str">
        <f aca="false">IF(I327&lt;50,"LOW-IN-STOCK","IN-STOCK")</f>
        <v>LOW-IN-STOCK</v>
      </c>
      <c r="K327" s="22" t="n">
        <f aca="false">E327*G327</f>
        <v>115.65</v>
      </c>
      <c r="L327" s="22" t="n">
        <f aca="false">F327*H327</f>
        <v>102.18</v>
      </c>
      <c r="M327" s="22" t="n">
        <f aca="false">L327-K327</f>
        <v>-13.47</v>
      </c>
    </row>
    <row r="328" customFormat="false" ht="15" hidden="false" customHeight="false" outlineLevel="0" collapsed="false">
      <c r="A328" s="21" t="s">
        <v>497</v>
      </c>
      <c r="B328" s="21" t="s">
        <v>216</v>
      </c>
      <c r="C328" s="21" t="s">
        <v>107</v>
      </c>
      <c r="D328" s="21" t="s">
        <v>160</v>
      </c>
      <c r="E328" s="22" t="n">
        <v>9.39</v>
      </c>
      <c r="F328" s="22" t="n">
        <v>16.47</v>
      </c>
      <c r="G328" s="23" t="n">
        <v>70</v>
      </c>
      <c r="H328" s="23" t="n">
        <v>52</v>
      </c>
      <c r="I328" s="23" t="n">
        <f aca="false">G328-H328</f>
        <v>18</v>
      </c>
      <c r="J328" s="21" t="str">
        <f aca="false">IF(I328&lt;50,"LOW-IN-STOCK","IN-STOCK")</f>
        <v>LOW-IN-STOCK</v>
      </c>
      <c r="K328" s="22" t="n">
        <f aca="false">E328*G328</f>
        <v>657.3</v>
      </c>
      <c r="L328" s="22" t="n">
        <f aca="false">F328*H328</f>
        <v>856.44</v>
      </c>
      <c r="M328" s="22" t="n">
        <f aca="false">L328-K328</f>
        <v>199.14</v>
      </c>
    </row>
    <row r="329" customFormat="false" ht="15" hidden="false" customHeight="false" outlineLevel="0" collapsed="false">
      <c r="A329" s="21" t="s">
        <v>498</v>
      </c>
      <c r="B329" s="21" t="s">
        <v>97</v>
      </c>
      <c r="C329" s="21" t="s">
        <v>83</v>
      </c>
      <c r="D329" s="21" t="s">
        <v>102</v>
      </c>
      <c r="E329" s="22" t="n">
        <v>17.66</v>
      </c>
      <c r="F329" s="22" t="n">
        <v>28.54</v>
      </c>
      <c r="G329" s="23" t="n">
        <v>240</v>
      </c>
      <c r="H329" s="23" t="n">
        <v>178</v>
      </c>
      <c r="I329" s="23" t="n">
        <f aca="false">G329-H329</f>
        <v>62</v>
      </c>
      <c r="J329" s="21" t="str">
        <f aca="false">IF(I329&lt;50,"LOW-IN-STOCK","IN-STOCK")</f>
        <v>IN-STOCK</v>
      </c>
      <c r="K329" s="22" t="n">
        <f aca="false">E329*G329</f>
        <v>4238.4</v>
      </c>
      <c r="L329" s="22" t="n">
        <f aca="false">F329*H329</f>
        <v>5080.12</v>
      </c>
      <c r="M329" s="22" t="n">
        <f aca="false">L329-K329</f>
        <v>841.72</v>
      </c>
    </row>
    <row r="330" customFormat="false" ht="15" hidden="false" customHeight="false" outlineLevel="0" collapsed="false">
      <c r="A330" s="21" t="s">
        <v>499</v>
      </c>
      <c r="B330" s="21" t="s">
        <v>92</v>
      </c>
      <c r="C330" s="21" t="s">
        <v>93</v>
      </c>
      <c r="D330" s="21" t="s">
        <v>88</v>
      </c>
      <c r="E330" s="22" t="n">
        <v>3.76</v>
      </c>
      <c r="F330" s="22" t="n">
        <v>4.97</v>
      </c>
      <c r="G330" s="23" t="n">
        <v>108</v>
      </c>
      <c r="H330" s="23" t="n">
        <v>101</v>
      </c>
      <c r="I330" s="23" t="n">
        <f aca="false">G330-H330</f>
        <v>7</v>
      </c>
      <c r="J330" s="21" t="str">
        <f aca="false">IF(I330&lt;50,"LOW-IN-STOCK","IN-STOCK")</f>
        <v>LOW-IN-STOCK</v>
      </c>
      <c r="K330" s="22" t="n">
        <f aca="false">E330*G330</f>
        <v>406.08</v>
      </c>
      <c r="L330" s="22" t="n">
        <f aca="false">F330*H330</f>
        <v>501.97</v>
      </c>
      <c r="M330" s="22" t="n">
        <f aca="false">L330-K330</f>
        <v>95.89</v>
      </c>
    </row>
    <row r="331" customFormat="false" ht="15" hidden="false" customHeight="false" outlineLevel="0" collapsed="false">
      <c r="A331" s="21" t="s">
        <v>500</v>
      </c>
      <c r="B331" s="21" t="s">
        <v>174</v>
      </c>
      <c r="C331" s="21" t="s">
        <v>113</v>
      </c>
      <c r="D331" s="21" t="s">
        <v>137</v>
      </c>
      <c r="E331" s="22" t="n">
        <v>33.5</v>
      </c>
      <c r="F331" s="22" t="n">
        <v>66.38</v>
      </c>
      <c r="G331" s="23" t="n">
        <v>411</v>
      </c>
      <c r="H331" s="23" t="n">
        <v>382</v>
      </c>
      <c r="I331" s="23" t="n">
        <f aca="false">G331-H331</f>
        <v>29</v>
      </c>
      <c r="J331" s="21" t="str">
        <f aca="false">IF(I331&lt;50,"LOW-IN-STOCK","IN-STOCK")</f>
        <v>LOW-IN-STOCK</v>
      </c>
      <c r="K331" s="22" t="n">
        <f aca="false">E331*G331</f>
        <v>13768.5</v>
      </c>
      <c r="L331" s="22" t="n">
        <f aca="false">F331*H331</f>
        <v>25357.16</v>
      </c>
      <c r="M331" s="22" t="n">
        <f aca="false">L331-K331</f>
        <v>11588.66</v>
      </c>
    </row>
    <row r="332" customFormat="false" ht="15" hidden="false" customHeight="false" outlineLevel="0" collapsed="false">
      <c r="A332" s="21" t="s">
        <v>501</v>
      </c>
      <c r="B332" s="21" t="s">
        <v>243</v>
      </c>
      <c r="C332" s="21" t="s">
        <v>113</v>
      </c>
      <c r="D332" s="21" t="s">
        <v>137</v>
      </c>
      <c r="E332" s="22" t="n">
        <v>34.23</v>
      </c>
      <c r="F332" s="22" t="n">
        <v>67.74</v>
      </c>
      <c r="G332" s="23" t="n">
        <v>52</v>
      </c>
      <c r="H332" s="23" t="n">
        <v>36</v>
      </c>
      <c r="I332" s="23" t="n">
        <f aca="false">G332-H332</f>
        <v>16</v>
      </c>
      <c r="J332" s="21" t="str">
        <f aca="false">IF(I332&lt;50,"LOW-IN-STOCK","IN-STOCK")</f>
        <v>LOW-IN-STOCK</v>
      </c>
      <c r="K332" s="22" t="n">
        <f aca="false">E332*G332</f>
        <v>1779.96</v>
      </c>
      <c r="L332" s="22" t="n">
        <f aca="false">F332*H332</f>
        <v>2438.64</v>
      </c>
      <c r="M332" s="22" t="n">
        <f aca="false">L332-K332</f>
        <v>658.68</v>
      </c>
    </row>
    <row r="333" customFormat="false" ht="15" hidden="false" customHeight="false" outlineLevel="0" collapsed="false">
      <c r="A333" s="21" t="s">
        <v>502</v>
      </c>
      <c r="B333" s="21" t="s">
        <v>466</v>
      </c>
      <c r="C333" s="21" t="s">
        <v>79</v>
      </c>
      <c r="D333" s="21" t="s">
        <v>99</v>
      </c>
      <c r="E333" s="22" t="n">
        <v>7.47</v>
      </c>
      <c r="F333" s="22" t="n">
        <v>13.03</v>
      </c>
      <c r="G333" s="23" t="n">
        <v>316</v>
      </c>
      <c r="H333" s="23" t="n">
        <v>238</v>
      </c>
      <c r="I333" s="23" t="n">
        <f aca="false">G333-H333</f>
        <v>78</v>
      </c>
      <c r="J333" s="21" t="str">
        <f aca="false">IF(I333&lt;50,"LOW-IN-STOCK","IN-STOCK")</f>
        <v>IN-STOCK</v>
      </c>
      <c r="K333" s="22" t="n">
        <f aca="false">E333*G333</f>
        <v>2360.52</v>
      </c>
      <c r="L333" s="22" t="n">
        <f aca="false">F333*H333</f>
        <v>3101.14</v>
      </c>
      <c r="M333" s="22" t="n">
        <f aca="false">L333-K333</f>
        <v>740.62</v>
      </c>
    </row>
    <row r="334" customFormat="false" ht="15" hidden="false" customHeight="false" outlineLevel="0" collapsed="false">
      <c r="A334" s="21" t="s">
        <v>503</v>
      </c>
      <c r="B334" s="21" t="s">
        <v>157</v>
      </c>
      <c r="C334" s="21" t="s">
        <v>113</v>
      </c>
      <c r="D334" s="21" t="s">
        <v>76</v>
      </c>
      <c r="E334" s="22" t="n">
        <v>28.78</v>
      </c>
      <c r="F334" s="22" t="n">
        <v>45.78</v>
      </c>
      <c r="G334" s="23" t="n">
        <v>476</v>
      </c>
      <c r="H334" s="23" t="n">
        <v>199</v>
      </c>
      <c r="I334" s="23" t="n">
        <f aca="false">G334-H334</f>
        <v>277</v>
      </c>
      <c r="J334" s="21" t="str">
        <f aca="false">IF(I334&lt;50,"LOW-IN-STOCK","IN-STOCK")</f>
        <v>IN-STOCK</v>
      </c>
      <c r="K334" s="22" t="n">
        <f aca="false">E334*G334</f>
        <v>13699.28</v>
      </c>
      <c r="L334" s="22" t="n">
        <f aca="false">F334*H334</f>
        <v>9110.22</v>
      </c>
      <c r="M334" s="22" t="n">
        <f aca="false">L334-K334</f>
        <v>-4589.06</v>
      </c>
    </row>
    <row r="335" customFormat="false" ht="15" hidden="false" customHeight="false" outlineLevel="0" collapsed="false">
      <c r="A335" s="21" t="s">
        <v>504</v>
      </c>
      <c r="B335" s="21" t="s">
        <v>267</v>
      </c>
      <c r="C335" s="21" t="s">
        <v>148</v>
      </c>
      <c r="D335" s="21" t="s">
        <v>160</v>
      </c>
      <c r="E335" s="22" t="n">
        <v>25.5</v>
      </c>
      <c r="F335" s="22" t="n">
        <v>41.87</v>
      </c>
      <c r="G335" s="23" t="n">
        <v>151</v>
      </c>
      <c r="H335" s="23" t="n">
        <v>35</v>
      </c>
      <c r="I335" s="23" t="n">
        <f aca="false">G335-H335</f>
        <v>116</v>
      </c>
      <c r="J335" s="21" t="str">
        <f aca="false">IF(I335&lt;50,"LOW-IN-STOCK","IN-STOCK")</f>
        <v>IN-STOCK</v>
      </c>
      <c r="K335" s="22" t="n">
        <f aca="false">E335*G335</f>
        <v>3850.5</v>
      </c>
      <c r="L335" s="22" t="n">
        <f aca="false">F335*H335</f>
        <v>1465.45</v>
      </c>
      <c r="M335" s="22" t="n">
        <f aca="false">L335-K335</f>
        <v>-2385.05</v>
      </c>
    </row>
    <row r="336" customFormat="false" ht="15" hidden="false" customHeight="false" outlineLevel="0" collapsed="false">
      <c r="A336" s="21" t="s">
        <v>505</v>
      </c>
      <c r="B336" s="21" t="s">
        <v>227</v>
      </c>
      <c r="C336" s="21" t="s">
        <v>148</v>
      </c>
      <c r="D336" s="21" t="s">
        <v>76</v>
      </c>
      <c r="E336" s="22" t="n">
        <v>77.25</v>
      </c>
      <c r="F336" s="22" t="n">
        <v>157.4</v>
      </c>
      <c r="G336" s="23" t="n">
        <v>250</v>
      </c>
      <c r="H336" s="23" t="n">
        <v>197</v>
      </c>
      <c r="I336" s="23" t="n">
        <f aca="false">G336-H336</f>
        <v>53</v>
      </c>
      <c r="J336" s="21" t="str">
        <f aca="false">IF(I336&lt;50,"LOW-IN-STOCK","IN-STOCK")</f>
        <v>IN-STOCK</v>
      </c>
      <c r="K336" s="22" t="n">
        <f aca="false">E336*G336</f>
        <v>19312.5</v>
      </c>
      <c r="L336" s="22" t="n">
        <f aca="false">F336*H336</f>
        <v>31007.8</v>
      </c>
      <c r="M336" s="22" t="n">
        <f aca="false">L336-K336</f>
        <v>11695.3</v>
      </c>
    </row>
    <row r="337" customFormat="false" ht="15" hidden="false" customHeight="false" outlineLevel="0" collapsed="false">
      <c r="A337" s="21" t="s">
        <v>506</v>
      </c>
      <c r="B337" s="21" t="s">
        <v>162</v>
      </c>
      <c r="C337" s="21" t="s">
        <v>113</v>
      </c>
      <c r="D337" s="21" t="s">
        <v>102</v>
      </c>
      <c r="E337" s="22" t="n">
        <v>27.16</v>
      </c>
      <c r="F337" s="22" t="n">
        <v>43.94</v>
      </c>
      <c r="G337" s="23" t="n">
        <v>108</v>
      </c>
      <c r="H337" s="23" t="n">
        <v>55</v>
      </c>
      <c r="I337" s="23" t="n">
        <f aca="false">G337-H337</f>
        <v>53</v>
      </c>
      <c r="J337" s="21" t="str">
        <f aca="false">IF(I337&lt;50,"LOW-IN-STOCK","IN-STOCK")</f>
        <v>IN-STOCK</v>
      </c>
      <c r="K337" s="22" t="n">
        <f aca="false">E337*G337</f>
        <v>2933.28</v>
      </c>
      <c r="L337" s="22" t="n">
        <f aca="false">F337*H337</f>
        <v>2416.7</v>
      </c>
      <c r="M337" s="22" t="n">
        <f aca="false">L337-K337</f>
        <v>-516.58</v>
      </c>
    </row>
    <row r="338" customFormat="false" ht="15" hidden="false" customHeight="false" outlineLevel="0" collapsed="false">
      <c r="A338" s="21" t="s">
        <v>507</v>
      </c>
      <c r="B338" s="21" t="s">
        <v>136</v>
      </c>
      <c r="C338" s="21" t="s">
        <v>87</v>
      </c>
      <c r="D338" s="21" t="s">
        <v>80</v>
      </c>
      <c r="E338" s="22" t="n">
        <v>13.51</v>
      </c>
      <c r="F338" s="22" t="n">
        <v>18.83</v>
      </c>
      <c r="G338" s="23" t="n">
        <v>414</v>
      </c>
      <c r="H338" s="23" t="n">
        <v>61</v>
      </c>
      <c r="I338" s="23" t="n">
        <f aca="false">G338-H338</f>
        <v>353</v>
      </c>
      <c r="J338" s="21" t="str">
        <f aca="false">IF(I338&lt;50,"LOW-IN-STOCK","IN-STOCK")</f>
        <v>IN-STOCK</v>
      </c>
      <c r="K338" s="22" t="n">
        <f aca="false">E338*G338</f>
        <v>5593.14</v>
      </c>
      <c r="L338" s="22" t="n">
        <f aca="false">F338*H338</f>
        <v>1148.63</v>
      </c>
      <c r="M338" s="22" t="n">
        <f aca="false">L338-K338</f>
        <v>-4444.51</v>
      </c>
    </row>
    <row r="339" customFormat="false" ht="15" hidden="false" customHeight="false" outlineLevel="0" collapsed="false">
      <c r="A339" s="21" t="s">
        <v>508</v>
      </c>
      <c r="B339" s="21" t="s">
        <v>211</v>
      </c>
      <c r="C339" s="21" t="s">
        <v>113</v>
      </c>
      <c r="D339" s="21" t="s">
        <v>84</v>
      </c>
      <c r="E339" s="22" t="n">
        <v>26.22</v>
      </c>
      <c r="F339" s="22" t="n">
        <v>52.34</v>
      </c>
      <c r="G339" s="23" t="n">
        <v>403</v>
      </c>
      <c r="H339" s="23" t="n">
        <v>105</v>
      </c>
      <c r="I339" s="23" t="n">
        <f aca="false">G339-H339</f>
        <v>298</v>
      </c>
      <c r="J339" s="21" t="str">
        <f aca="false">IF(I339&lt;50,"LOW-IN-STOCK","IN-STOCK")</f>
        <v>IN-STOCK</v>
      </c>
      <c r="K339" s="22" t="n">
        <f aca="false">E339*G339</f>
        <v>10566.66</v>
      </c>
      <c r="L339" s="22" t="n">
        <f aca="false">F339*H339</f>
        <v>5495.7</v>
      </c>
      <c r="M339" s="22" t="n">
        <f aca="false">L339-K339</f>
        <v>-5070.96</v>
      </c>
    </row>
    <row r="340" customFormat="false" ht="15" hidden="false" customHeight="false" outlineLevel="0" collapsed="false">
      <c r="A340" s="21" t="s">
        <v>509</v>
      </c>
      <c r="B340" s="21" t="s">
        <v>82</v>
      </c>
      <c r="C340" s="21" t="s">
        <v>83</v>
      </c>
      <c r="D340" s="21" t="s">
        <v>88</v>
      </c>
      <c r="E340" s="22" t="n">
        <v>19.98</v>
      </c>
      <c r="F340" s="22" t="n">
        <v>28.11</v>
      </c>
      <c r="G340" s="23" t="n">
        <v>366</v>
      </c>
      <c r="H340" s="23" t="n">
        <v>95</v>
      </c>
      <c r="I340" s="23" t="n">
        <f aca="false">G340-H340</f>
        <v>271</v>
      </c>
      <c r="J340" s="21" t="str">
        <f aca="false">IF(I340&lt;50,"LOW-IN-STOCK","IN-STOCK")</f>
        <v>IN-STOCK</v>
      </c>
      <c r="K340" s="22" t="n">
        <f aca="false">E340*G340</f>
        <v>7312.68</v>
      </c>
      <c r="L340" s="22" t="n">
        <f aca="false">F340*H340</f>
        <v>2670.45</v>
      </c>
      <c r="M340" s="22" t="n">
        <f aca="false">L340-K340</f>
        <v>-4642.23</v>
      </c>
    </row>
    <row r="341" customFormat="false" ht="15" hidden="false" customHeight="false" outlineLevel="0" collapsed="false">
      <c r="A341" s="21" t="s">
        <v>510</v>
      </c>
      <c r="B341" s="21" t="s">
        <v>289</v>
      </c>
      <c r="C341" s="21" t="s">
        <v>148</v>
      </c>
      <c r="D341" s="21" t="s">
        <v>102</v>
      </c>
      <c r="E341" s="22" t="n">
        <v>68.2</v>
      </c>
      <c r="F341" s="22" t="n">
        <v>134.27</v>
      </c>
      <c r="G341" s="23" t="n">
        <v>342</v>
      </c>
      <c r="H341" s="23" t="n">
        <v>231</v>
      </c>
      <c r="I341" s="23" t="n">
        <f aca="false">G341-H341</f>
        <v>111</v>
      </c>
      <c r="J341" s="21" t="str">
        <f aca="false">IF(I341&lt;50,"LOW-IN-STOCK","IN-STOCK")</f>
        <v>IN-STOCK</v>
      </c>
      <c r="K341" s="22" t="n">
        <f aca="false">E341*G341</f>
        <v>23324.4</v>
      </c>
      <c r="L341" s="22" t="n">
        <f aca="false">F341*H341</f>
        <v>31016.37</v>
      </c>
      <c r="M341" s="22" t="n">
        <f aca="false">L341-K341</f>
        <v>7691.97</v>
      </c>
    </row>
    <row r="342" customFormat="false" ht="15" hidden="false" customHeight="false" outlineLevel="0" collapsed="false">
      <c r="A342" s="21" t="s">
        <v>511</v>
      </c>
      <c r="B342" s="21" t="s">
        <v>308</v>
      </c>
      <c r="C342" s="21" t="s">
        <v>87</v>
      </c>
      <c r="D342" s="21" t="s">
        <v>137</v>
      </c>
      <c r="E342" s="22" t="n">
        <v>5.07</v>
      </c>
      <c r="F342" s="22" t="n">
        <v>7.51</v>
      </c>
      <c r="G342" s="23" t="n">
        <v>289</v>
      </c>
      <c r="H342" s="23" t="n">
        <v>57</v>
      </c>
      <c r="I342" s="23" t="n">
        <f aca="false">G342-H342</f>
        <v>232</v>
      </c>
      <c r="J342" s="21" t="str">
        <f aca="false">IF(I342&lt;50,"LOW-IN-STOCK","IN-STOCK")</f>
        <v>IN-STOCK</v>
      </c>
      <c r="K342" s="22" t="n">
        <f aca="false">E342*G342</f>
        <v>1465.23</v>
      </c>
      <c r="L342" s="22" t="n">
        <f aca="false">F342*H342</f>
        <v>428.07</v>
      </c>
      <c r="M342" s="22" t="n">
        <f aca="false">L342-K342</f>
        <v>-1037.16</v>
      </c>
    </row>
    <row r="343" customFormat="false" ht="15" hidden="false" customHeight="false" outlineLevel="0" collapsed="false">
      <c r="A343" s="21" t="s">
        <v>512</v>
      </c>
      <c r="B343" s="21" t="s">
        <v>308</v>
      </c>
      <c r="C343" s="21" t="s">
        <v>87</v>
      </c>
      <c r="D343" s="21" t="s">
        <v>84</v>
      </c>
      <c r="E343" s="22" t="n">
        <v>24.51</v>
      </c>
      <c r="F343" s="22" t="n">
        <v>41</v>
      </c>
      <c r="G343" s="23" t="n">
        <v>276</v>
      </c>
      <c r="H343" s="23" t="n">
        <v>47</v>
      </c>
      <c r="I343" s="23" t="n">
        <f aca="false">G343-H343</f>
        <v>229</v>
      </c>
      <c r="J343" s="21" t="str">
        <f aca="false">IF(I343&lt;50,"LOW-IN-STOCK","IN-STOCK")</f>
        <v>IN-STOCK</v>
      </c>
      <c r="K343" s="22" t="n">
        <f aca="false">E343*G343</f>
        <v>6764.76</v>
      </c>
      <c r="L343" s="22" t="n">
        <f aca="false">F343*H343</f>
        <v>1927</v>
      </c>
      <c r="M343" s="22" t="n">
        <f aca="false">L343-K343</f>
        <v>-4837.76</v>
      </c>
    </row>
    <row r="344" customFormat="false" ht="15" hidden="false" customHeight="false" outlineLevel="0" collapsed="false">
      <c r="A344" s="21" t="s">
        <v>513</v>
      </c>
      <c r="B344" s="21" t="s">
        <v>411</v>
      </c>
      <c r="C344" s="21" t="s">
        <v>107</v>
      </c>
      <c r="D344" s="21" t="s">
        <v>160</v>
      </c>
      <c r="E344" s="22" t="n">
        <v>4.92</v>
      </c>
      <c r="F344" s="22" t="n">
        <v>8.16</v>
      </c>
      <c r="G344" s="23" t="n">
        <v>229</v>
      </c>
      <c r="H344" s="23" t="n">
        <v>103</v>
      </c>
      <c r="I344" s="23" t="n">
        <f aca="false">G344-H344</f>
        <v>126</v>
      </c>
      <c r="J344" s="21" t="str">
        <f aca="false">IF(I344&lt;50,"LOW-IN-STOCK","IN-STOCK")</f>
        <v>IN-STOCK</v>
      </c>
      <c r="K344" s="22" t="n">
        <f aca="false">E344*G344</f>
        <v>1126.68</v>
      </c>
      <c r="L344" s="22" t="n">
        <f aca="false">F344*H344</f>
        <v>840.48</v>
      </c>
      <c r="M344" s="22" t="n">
        <f aca="false">L344-K344</f>
        <v>-286.2</v>
      </c>
    </row>
    <row r="345" customFormat="false" ht="15" hidden="false" customHeight="false" outlineLevel="0" collapsed="false">
      <c r="A345" s="21" t="s">
        <v>514</v>
      </c>
      <c r="B345" s="21" t="s">
        <v>97</v>
      </c>
      <c r="C345" s="21" t="s">
        <v>83</v>
      </c>
      <c r="D345" s="21" t="s">
        <v>137</v>
      </c>
      <c r="E345" s="22" t="n">
        <v>18.11</v>
      </c>
      <c r="F345" s="22" t="n">
        <v>28.51</v>
      </c>
      <c r="G345" s="23" t="n">
        <v>188</v>
      </c>
      <c r="H345" s="23" t="n">
        <v>36</v>
      </c>
      <c r="I345" s="23" t="n">
        <f aca="false">G345-H345</f>
        <v>152</v>
      </c>
      <c r="J345" s="21" t="str">
        <f aca="false">IF(I345&lt;50,"LOW-IN-STOCK","IN-STOCK")</f>
        <v>IN-STOCK</v>
      </c>
      <c r="K345" s="22" t="n">
        <f aca="false">E345*G345</f>
        <v>3404.68</v>
      </c>
      <c r="L345" s="22" t="n">
        <f aca="false">F345*H345</f>
        <v>1026.36</v>
      </c>
      <c r="M345" s="22" t="n">
        <f aca="false">L345-K345</f>
        <v>-2378.32</v>
      </c>
    </row>
    <row r="346" customFormat="false" ht="15" hidden="false" customHeight="false" outlineLevel="0" collapsed="false">
      <c r="A346" s="21" t="s">
        <v>515</v>
      </c>
      <c r="B346" s="21" t="s">
        <v>150</v>
      </c>
      <c r="C346" s="21" t="s">
        <v>148</v>
      </c>
      <c r="D346" s="21" t="s">
        <v>84</v>
      </c>
      <c r="E346" s="22" t="n">
        <v>12.29</v>
      </c>
      <c r="F346" s="22" t="n">
        <v>24.56</v>
      </c>
      <c r="G346" s="23" t="n">
        <v>114</v>
      </c>
      <c r="H346" s="23" t="n">
        <v>21</v>
      </c>
      <c r="I346" s="23" t="n">
        <f aca="false">G346-H346</f>
        <v>93</v>
      </c>
      <c r="J346" s="21" t="str">
        <f aca="false">IF(I346&lt;50,"LOW-IN-STOCK","IN-STOCK")</f>
        <v>IN-STOCK</v>
      </c>
      <c r="K346" s="22" t="n">
        <f aca="false">E346*G346</f>
        <v>1401.06</v>
      </c>
      <c r="L346" s="22" t="n">
        <f aca="false">F346*H346</f>
        <v>515.76</v>
      </c>
      <c r="M346" s="22" t="n">
        <f aca="false">L346-K346</f>
        <v>-885.3</v>
      </c>
    </row>
    <row r="347" customFormat="false" ht="15" hidden="false" customHeight="false" outlineLevel="0" collapsed="false">
      <c r="A347" s="21" t="s">
        <v>516</v>
      </c>
      <c r="B347" s="21" t="s">
        <v>383</v>
      </c>
      <c r="C347" s="21" t="s">
        <v>87</v>
      </c>
      <c r="D347" s="21" t="s">
        <v>160</v>
      </c>
      <c r="E347" s="22" t="n">
        <v>24.34</v>
      </c>
      <c r="F347" s="22" t="n">
        <v>44.96</v>
      </c>
      <c r="G347" s="23" t="n">
        <v>204</v>
      </c>
      <c r="H347" s="23" t="n">
        <v>161</v>
      </c>
      <c r="I347" s="23" t="n">
        <f aca="false">G347-H347</f>
        <v>43</v>
      </c>
      <c r="J347" s="21" t="str">
        <f aca="false">IF(I347&lt;50,"LOW-IN-STOCK","IN-STOCK")</f>
        <v>LOW-IN-STOCK</v>
      </c>
      <c r="K347" s="22" t="n">
        <f aca="false">E347*G347</f>
        <v>4965.36</v>
      </c>
      <c r="L347" s="22" t="n">
        <f aca="false">F347*H347</f>
        <v>7238.56</v>
      </c>
      <c r="M347" s="22" t="n">
        <f aca="false">L347-K347</f>
        <v>2273.2</v>
      </c>
    </row>
    <row r="348" customFormat="false" ht="15" hidden="false" customHeight="false" outlineLevel="0" collapsed="false">
      <c r="A348" s="21" t="s">
        <v>517</v>
      </c>
      <c r="B348" s="21" t="s">
        <v>176</v>
      </c>
      <c r="C348" s="21" t="s">
        <v>83</v>
      </c>
      <c r="D348" s="21" t="s">
        <v>102</v>
      </c>
      <c r="E348" s="22" t="n">
        <v>24.97</v>
      </c>
      <c r="F348" s="22" t="n">
        <v>48.94</v>
      </c>
      <c r="G348" s="23" t="n">
        <v>276</v>
      </c>
      <c r="H348" s="23" t="n">
        <v>145</v>
      </c>
      <c r="I348" s="23" t="n">
        <f aca="false">G348-H348</f>
        <v>131</v>
      </c>
      <c r="J348" s="21" t="str">
        <f aca="false">IF(I348&lt;50,"LOW-IN-STOCK","IN-STOCK")</f>
        <v>IN-STOCK</v>
      </c>
      <c r="K348" s="22" t="n">
        <f aca="false">E348*G348</f>
        <v>6891.72</v>
      </c>
      <c r="L348" s="22" t="n">
        <f aca="false">F348*H348</f>
        <v>7096.3</v>
      </c>
      <c r="M348" s="22" t="n">
        <f aca="false">L348-K348</f>
        <v>204.58</v>
      </c>
    </row>
    <row r="349" customFormat="false" ht="15" hidden="false" customHeight="false" outlineLevel="0" collapsed="false">
      <c r="A349" s="21" t="s">
        <v>518</v>
      </c>
      <c r="B349" s="21" t="s">
        <v>116</v>
      </c>
      <c r="C349" s="21" t="s">
        <v>83</v>
      </c>
      <c r="D349" s="21" t="s">
        <v>102</v>
      </c>
      <c r="E349" s="22" t="n">
        <v>14.42</v>
      </c>
      <c r="F349" s="22" t="n">
        <v>25.33</v>
      </c>
      <c r="G349" s="23" t="n">
        <v>145</v>
      </c>
      <c r="H349" s="23" t="n">
        <v>71</v>
      </c>
      <c r="I349" s="23" t="n">
        <f aca="false">G349-H349</f>
        <v>74</v>
      </c>
      <c r="J349" s="21" t="str">
        <f aca="false">IF(I349&lt;50,"LOW-IN-STOCK","IN-STOCK")</f>
        <v>IN-STOCK</v>
      </c>
      <c r="K349" s="22" t="n">
        <f aca="false">E349*G349</f>
        <v>2090.9</v>
      </c>
      <c r="L349" s="22" t="n">
        <f aca="false">F349*H349</f>
        <v>1798.43</v>
      </c>
      <c r="M349" s="22" t="n">
        <f aca="false">L349-K349</f>
        <v>-292.47</v>
      </c>
    </row>
    <row r="350" customFormat="false" ht="15" hidden="false" customHeight="false" outlineLevel="0" collapsed="false">
      <c r="A350" s="21" t="s">
        <v>519</v>
      </c>
      <c r="B350" s="21" t="s">
        <v>447</v>
      </c>
      <c r="C350" s="21" t="s">
        <v>148</v>
      </c>
      <c r="D350" s="21" t="s">
        <v>88</v>
      </c>
      <c r="E350" s="22" t="n">
        <v>43.26</v>
      </c>
      <c r="F350" s="22" t="n">
        <v>68.53</v>
      </c>
      <c r="G350" s="23" t="n">
        <v>30</v>
      </c>
      <c r="H350" s="23" t="n">
        <v>3</v>
      </c>
      <c r="I350" s="23" t="n">
        <f aca="false">G350-H350</f>
        <v>27</v>
      </c>
      <c r="J350" s="21" t="str">
        <f aca="false">IF(I350&lt;50,"LOW-IN-STOCK","IN-STOCK")</f>
        <v>LOW-IN-STOCK</v>
      </c>
      <c r="K350" s="22" t="n">
        <f aca="false">E350*G350</f>
        <v>1297.8</v>
      </c>
      <c r="L350" s="22" t="n">
        <f aca="false">F350*H350</f>
        <v>205.59</v>
      </c>
      <c r="M350" s="22" t="n">
        <f aca="false">L350-K350</f>
        <v>-1092.21</v>
      </c>
    </row>
    <row r="351" customFormat="false" ht="15" hidden="false" customHeight="false" outlineLevel="0" collapsed="false">
      <c r="A351" s="21" t="s">
        <v>520</v>
      </c>
      <c r="B351" s="21" t="s">
        <v>311</v>
      </c>
      <c r="C351" s="21" t="s">
        <v>75</v>
      </c>
      <c r="D351" s="21" t="s">
        <v>160</v>
      </c>
      <c r="E351" s="22" t="n">
        <v>22.41</v>
      </c>
      <c r="F351" s="22" t="n">
        <v>38.97</v>
      </c>
      <c r="G351" s="23" t="n">
        <v>31</v>
      </c>
      <c r="H351" s="23" t="n">
        <v>11</v>
      </c>
      <c r="I351" s="23" t="n">
        <f aca="false">G351-H351</f>
        <v>20</v>
      </c>
      <c r="J351" s="21" t="str">
        <f aca="false">IF(I351&lt;50,"LOW-IN-STOCK","IN-STOCK")</f>
        <v>LOW-IN-STOCK</v>
      </c>
      <c r="K351" s="22" t="n">
        <f aca="false">E351*G351</f>
        <v>694.71</v>
      </c>
      <c r="L351" s="22" t="n">
        <f aca="false">F351*H351</f>
        <v>428.67</v>
      </c>
      <c r="M351" s="22" t="n">
        <f aca="false">L351-K351</f>
        <v>-266.04</v>
      </c>
    </row>
    <row r="352" customFormat="false" ht="15" hidden="false" customHeight="false" outlineLevel="0" collapsed="false">
      <c r="A352" s="21" t="s">
        <v>521</v>
      </c>
      <c r="B352" s="21" t="s">
        <v>86</v>
      </c>
      <c r="C352" s="21" t="s">
        <v>87</v>
      </c>
      <c r="D352" s="21" t="s">
        <v>137</v>
      </c>
      <c r="E352" s="22" t="n">
        <v>2.09</v>
      </c>
      <c r="F352" s="22" t="n">
        <v>3.71</v>
      </c>
      <c r="G352" s="23" t="n">
        <v>112</v>
      </c>
      <c r="H352" s="23" t="n">
        <v>100</v>
      </c>
      <c r="I352" s="23" t="n">
        <f aca="false">G352-H352</f>
        <v>12</v>
      </c>
      <c r="J352" s="21" t="str">
        <f aca="false">IF(I352&lt;50,"LOW-IN-STOCK","IN-STOCK")</f>
        <v>LOW-IN-STOCK</v>
      </c>
      <c r="K352" s="22" t="n">
        <f aca="false">E352*G352</f>
        <v>234.08</v>
      </c>
      <c r="L352" s="22" t="n">
        <f aca="false">F352*H352</f>
        <v>371</v>
      </c>
      <c r="M352" s="22" t="n">
        <f aca="false">L352-K352</f>
        <v>136.92</v>
      </c>
    </row>
    <row r="353" customFormat="false" ht="15" hidden="false" customHeight="false" outlineLevel="0" collapsed="false">
      <c r="A353" s="21" t="s">
        <v>522</v>
      </c>
      <c r="B353" s="21" t="s">
        <v>118</v>
      </c>
      <c r="C353" s="21" t="s">
        <v>79</v>
      </c>
      <c r="D353" s="21" t="s">
        <v>88</v>
      </c>
      <c r="E353" s="22" t="n">
        <v>15.07</v>
      </c>
      <c r="F353" s="22" t="n">
        <v>28.39</v>
      </c>
      <c r="G353" s="23" t="n">
        <v>118</v>
      </c>
      <c r="H353" s="23" t="n">
        <v>51</v>
      </c>
      <c r="I353" s="23" t="n">
        <f aca="false">G353-H353</f>
        <v>67</v>
      </c>
      <c r="J353" s="21" t="str">
        <f aca="false">IF(I353&lt;50,"LOW-IN-STOCK","IN-STOCK")</f>
        <v>IN-STOCK</v>
      </c>
      <c r="K353" s="22" t="n">
        <f aca="false">E353*G353</f>
        <v>1778.26</v>
      </c>
      <c r="L353" s="22" t="n">
        <f aca="false">F353*H353</f>
        <v>1447.89</v>
      </c>
      <c r="M353" s="22" t="n">
        <f aca="false">L353-K353</f>
        <v>-330.37</v>
      </c>
    </row>
    <row r="354" customFormat="false" ht="15" hidden="false" customHeight="false" outlineLevel="0" collapsed="false">
      <c r="A354" s="21" t="s">
        <v>523</v>
      </c>
      <c r="B354" s="21" t="s">
        <v>481</v>
      </c>
      <c r="C354" s="21" t="s">
        <v>93</v>
      </c>
      <c r="D354" s="21" t="s">
        <v>137</v>
      </c>
      <c r="E354" s="22" t="n">
        <v>1.47</v>
      </c>
      <c r="F354" s="22" t="n">
        <v>2.76</v>
      </c>
      <c r="G354" s="23" t="n">
        <v>304</v>
      </c>
      <c r="H354" s="23" t="n">
        <v>106</v>
      </c>
      <c r="I354" s="23" t="n">
        <f aca="false">G354-H354</f>
        <v>198</v>
      </c>
      <c r="J354" s="21" t="str">
        <f aca="false">IF(I354&lt;50,"LOW-IN-STOCK","IN-STOCK")</f>
        <v>IN-STOCK</v>
      </c>
      <c r="K354" s="22" t="n">
        <f aca="false">E354*G354</f>
        <v>446.88</v>
      </c>
      <c r="L354" s="22" t="n">
        <f aca="false">F354*H354</f>
        <v>292.56</v>
      </c>
      <c r="M354" s="22" t="n">
        <f aca="false">L354-K354</f>
        <v>-154.32</v>
      </c>
    </row>
    <row r="355" customFormat="false" ht="15" hidden="false" customHeight="false" outlineLevel="0" collapsed="false">
      <c r="A355" s="21" t="s">
        <v>524</v>
      </c>
      <c r="B355" s="21" t="s">
        <v>112</v>
      </c>
      <c r="C355" s="21" t="s">
        <v>113</v>
      </c>
      <c r="D355" s="21" t="s">
        <v>80</v>
      </c>
      <c r="E355" s="22" t="n">
        <v>17.23</v>
      </c>
      <c r="F355" s="22" t="n">
        <v>22.64</v>
      </c>
      <c r="G355" s="23" t="n">
        <v>446</v>
      </c>
      <c r="H355" s="23" t="n">
        <v>206</v>
      </c>
      <c r="I355" s="23" t="n">
        <f aca="false">G355-H355</f>
        <v>240</v>
      </c>
      <c r="J355" s="21" t="str">
        <f aca="false">IF(I355&lt;50,"LOW-IN-STOCK","IN-STOCK")</f>
        <v>IN-STOCK</v>
      </c>
      <c r="K355" s="22" t="n">
        <f aca="false">E355*G355</f>
        <v>7684.58</v>
      </c>
      <c r="L355" s="22" t="n">
        <f aca="false">F355*H355</f>
        <v>4663.84</v>
      </c>
      <c r="M355" s="22" t="n">
        <f aca="false">L355-K355</f>
        <v>-3020.74</v>
      </c>
    </row>
    <row r="356" customFormat="false" ht="15" hidden="false" customHeight="false" outlineLevel="0" collapsed="false">
      <c r="A356" s="21" t="s">
        <v>525</v>
      </c>
      <c r="B356" s="21" t="s">
        <v>319</v>
      </c>
      <c r="C356" s="21" t="s">
        <v>113</v>
      </c>
      <c r="D356" s="21" t="s">
        <v>160</v>
      </c>
      <c r="E356" s="22" t="n">
        <v>6.87</v>
      </c>
      <c r="F356" s="22" t="n">
        <v>12.08</v>
      </c>
      <c r="G356" s="23" t="n">
        <v>428</v>
      </c>
      <c r="H356" s="23" t="n">
        <v>275</v>
      </c>
      <c r="I356" s="23" t="n">
        <f aca="false">G356-H356</f>
        <v>153</v>
      </c>
      <c r="J356" s="21" t="str">
        <f aca="false">IF(I356&lt;50,"LOW-IN-STOCK","IN-STOCK")</f>
        <v>IN-STOCK</v>
      </c>
      <c r="K356" s="22" t="n">
        <f aca="false">E356*G356</f>
        <v>2940.36</v>
      </c>
      <c r="L356" s="22" t="n">
        <f aca="false">F356*H356</f>
        <v>3322</v>
      </c>
      <c r="M356" s="22" t="n">
        <f aca="false">L356-K356</f>
        <v>381.64</v>
      </c>
    </row>
    <row r="357" customFormat="false" ht="15" hidden="false" customHeight="false" outlineLevel="0" collapsed="false">
      <c r="A357" s="21" t="s">
        <v>526</v>
      </c>
      <c r="B357" s="21" t="s">
        <v>86</v>
      </c>
      <c r="C357" s="21" t="s">
        <v>87</v>
      </c>
      <c r="D357" s="21" t="s">
        <v>76</v>
      </c>
      <c r="E357" s="22" t="n">
        <v>19.31</v>
      </c>
      <c r="F357" s="22" t="n">
        <v>39.95</v>
      </c>
      <c r="G357" s="23" t="n">
        <v>383</v>
      </c>
      <c r="H357" s="23" t="n">
        <v>204</v>
      </c>
      <c r="I357" s="23" t="n">
        <f aca="false">G357-H357</f>
        <v>179</v>
      </c>
      <c r="J357" s="21" t="str">
        <f aca="false">IF(I357&lt;50,"LOW-IN-STOCK","IN-STOCK")</f>
        <v>IN-STOCK</v>
      </c>
      <c r="K357" s="22" t="n">
        <f aca="false">E357*G357</f>
        <v>7395.73</v>
      </c>
      <c r="L357" s="22" t="n">
        <f aca="false">F357*H357</f>
        <v>8149.8</v>
      </c>
      <c r="M357" s="22" t="n">
        <f aca="false">L357-K357</f>
        <v>754.070000000001</v>
      </c>
    </row>
    <row r="358" customFormat="false" ht="15" hidden="false" customHeight="false" outlineLevel="0" collapsed="false">
      <c r="A358" s="21" t="s">
        <v>527</v>
      </c>
      <c r="B358" s="21" t="s">
        <v>411</v>
      </c>
      <c r="C358" s="21" t="s">
        <v>107</v>
      </c>
      <c r="D358" s="21" t="s">
        <v>114</v>
      </c>
      <c r="E358" s="22" t="n">
        <v>0.83</v>
      </c>
      <c r="F358" s="22" t="n">
        <v>1.74</v>
      </c>
      <c r="G358" s="23" t="n">
        <v>373</v>
      </c>
      <c r="H358" s="23" t="n">
        <v>308</v>
      </c>
      <c r="I358" s="23" t="n">
        <f aca="false">G358-H358</f>
        <v>65</v>
      </c>
      <c r="J358" s="21" t="str">
        <f aca="false">IF(I358&lt;50,"LOW-IN-STOCK","IN-STOCK")</f>
        <v>IN-STOCK</v>
      </c>
      <c r="K358" s="22" t="n">
        <f aca="false">E358*G358</f>
        <v>309.59</v>
      </c>
      <c r="L358" s="22" t="n">
        <f aca="false">F358*H358</f>
        <v>535.92</v>
      </c>
      <c r="M358" s="22" t="n">
        <f aca="false">L358-K358</f>
        <v>226.33</v>
      </c>
    </row>
    <row r="359" customFormat="false" ht="15" hidden="false" customHeight="false" outlineLevel="0" collapsed="false">
      <c r="A359" s="21" t="s">
        <v>528</v>
      </c>
      <c r="B359" s="21" t="s">
        <v>74</v>
      </c>
      <c r="C359" s="21" t="s">
        <v>75</v>
      </c>
      <c r="D359" s="21" t="s">
        <v>102</v>
      </c>
      <c r="E359" s="22" t="n">
        <v>12.64</v>
      </c>
      <c r="F359" s="22" t="n">
        <v>27.59</v>
      </c>
      <c r="G359" s="23" t="n">
        <v>106</v>
      </c>
      <c r="H359" s="23" t="n">
        <v>11</v>
      </c>
      <c r="I359" s="23" t="n">
        <f aca="false">G359-H359</f>
        <v>95</v>
      </c>
      <c r="J359" s="21" t="str">
        <f aca="false">IF(I359&lt;50,"LOW-IN-STOCK","IN-STOCK")</f>
        <v>IN-STOCK</v>
      </c>
      <c r="K359" s="22" t="n">
        <f aca="false">E359*G359</f>
        <v>1339.84</v>
      </c>
      <c r="L359" s="22" t="n">
        <f aca="false">F359*H359</f>
        <v>303.49</v>
      </c>
      <c r="M359" s="22" t="n">
        <f aca="false">L359-K359</f>
        <v>-1036.35</v>
      </c>
    </row>
    <row r="360" customFormat="false" ht="15" hidden="false" customHeight="false" outlineLevel="0" collapsed="false">
      <c r="A360" s="21" t="s">
        <v>529</v>
      </c>
      <c r="B360" s="21" t="s">
        <v>466</v>
      </c>
      <c r="C360" s="21" t="s">
        <v>79</v>
      </c>
      <c r="D360" s="21" t="s">
        <v>80</v>
      </c>
      <c r="E360" s="22" t="n">
        <v>13.89</v>
      </c>
      <c r="F360" s="22" t="n">
        <v>27.32</v>
      </c>
      <c r="G360" s="23" t="n">
        <v>125</v>
      </c>
      <c r="H360" s="23" t="n">
        <v>117</v>
      </c>
      <c r="I360" s="23" t="n">
        <f aca="false">G360-H360</f>
        <v>8</v>
      </c>
      <c r="J360" s="21" t="str">
        <f aca="false">IF(I360&lt;50,"LOW-IN-STOCK","IN-STOCK")</f>
        <v>LOW-IN-STOCK</v>
      </c>
      <c r="K360" s="22" t="n">
        <f aca="false">E360*G360</f>
        <v>1736.25</v>
      </c>
      <c r="L360" s="22" t="n">
        <f aca="false">F360*H360</f>
        <v>3196.44</v>
      </c>
      <c r="M360" s="22" t="n">
        <f aca="false">L360-K360</f>
        <v>1460.19</v>
      </c>
    </row>
    <row r="361" customFormat="false" ht="15" hidden="false" customHeight="false" outlineLevel="0" collapsed="false">
      <c r="A361" s="21" t="s">
        <v>530</v>
      </c>
      <c r="B361" s="21" t="s">
        <v>143</v>
      </c>
      <c r="C361" s="21" t="s">
        <v>107</v>
      </c>
      <c r="D361" s="21" t="s">
        <v>99</v>
      </c>
      <c r="E361" s="22" t="n">
        <v>3.84</v>
      </c>
      <c r="F361" s="22" t="n">
        <v>5.26</v>
      </c>
      <c r="G361" s="23" t="n">
        <v>141</v>
      </c>
      <c r="H361" s="23" t="n">
        <v>57</v>
      </c>
      <c r="I361" s="23" t="n">
        <f aca="false">G361-H361</f>
        <v>84</v>
      </c>
      <c r="J361" s="21" t="str">
        <f aca="false">IF(I361&lt;50,"LOW-IN-STOCK","IN-STOCK")</f>
        <v>IN-STOCK</v>
      </c>
      <c r="K361" s="22" t="n">
        <f aca="false">E361*G361</f>
        <v>541.44</v>
      </c>
      <c r="L361" s="22" t="n">
        <f aca="false">F361*H361</f>
        <v>299.82</v>
      </c>
      <c r="M361" s="22" t="n">
        <f aca="false">L361-K361</f>
        <v>-241.62</v>
      </c>
    </row>
    <row r="362" customFormat="false" ht="15" hidden="false" customHeight="false" outlineLevel="0" collapsed="false">
      <c r="A362" s="21" t="s">
        <v>531</v>
      </c>
      <c r="B362" s="21" t="s">
        <v>104</v>
      </c>
      <c r="C362" s="21" t="s">
        <v>75</v>
      </c>
      <c r="D362" s="21" t="s">
        <v>99</v>
      </c>
      <c r="E362" s="22" t="n">
        <v>14.51</v>
      </c>
      <c r="F362" s="22" t="n">
        <v>25.95</v>
      </c>
      <c r="G362" s="23" t="n">
        <v>279</v>
      </c>
      <c r="H362" s="23" t="n">
        <v>39</v>
      </c>
      <c r="I362" s="23" t="n">
        <f aca="false">G362-H362</f>
        <v>240</v>
      </c>
      <c r="J362" s="21" t="str">
        <f aca="false">IF(I362&lt;50,"LOW-IN-STOCK","IN-STOCK")</f>
        <v>IN-STOCK</v>
      </c>
      <c r="K362" s="22" t="n">
        <f aca="false">E362*G362</f>
        <v>4048.29</v>
      </c>
      <c r="L362" s="22" t="n">
        <f aca="false">F362*H362</f>
        <v>1012.05</v>
      </c>
      <c r="M362" s="22" t="n">
        <f aca="false">L362-K362</f>
        <v>-3036.24</v>
      </c>
    </row>
    <row r="363" customFormat="false" ht="15" hidden="false" customHeight="false" outlineLevel="0" collapsed="false">
      <c r="A363" s="21" t="s">
        <v>532</v>
      </c>
      <c r="B363" s="21" t="s">
        <v>101</v>
      </c>
      <c r="C363" s="21" t="s">
        <v>83</v>
      </c>
      <c r="D363" s="21" t="s">
        <v>160</v>
      </c>
      <c r="E363" s="22" t="n">
        <v>2.08</v>
      </c>
      <c r="F363" s="22" t="n">
        <v>2.71</v>
      </c>
      <c r="G363" s="23" t="n">
        <v>437</v>
      </c>
      <c r="H363" s="23" t="n">
        <v>359</v>
      </c>
      <c r="I363" s="23" t="n">
        <f aca="false">G363-H363</f>
        <v>78</v>
      </c>
      <c r="J363" s="21" t="str">
        <f aca="false">IF(I363&lt;50,"LOW-IN-STOCK","IN-STOCK")</f>
        <v>IN-STOCK</v>
      </c>
      <c r="K363" s="22" t="n">
        <f aca="false">E363*G363</f>
        <v>908.96</v>
      </c>
      <c r="L363" s="22" t="n">
        <f aca="false">F363*H363</f>
        <v>972.89</v>
      </c>
      <c r="M363" s="22" t="n">
        <f aca="false">L363-K363</f>
        <v>63.93</v>
      </c>
    </row>
    <row r="364" customFormat="false" ht="15" hidden="false" customHeight="false" outlineLevel="0" collapsed="false">
      <c r="A364" s="21" t="s">
        <v>533</v>
      </c>
      <c r="B364" s="21" t="s">
        <v>97</v>
      </c>
      <c r="C364" s="21" t="s">
        <v>83</v>
      </c>
      <c r="D364" s="21" t="s">
        <v>102</v>
      </c>
      <c r="E364" s="22" t="n">
        <v>20.57</v>
      </c>
      <c r="F364" s="22" t="n">
        <v>38</v>
      </c>
      <c r="G364" s="23" t="n">
        <v>149</v>
      </c>
      <c r="H364" s="23" t="n">
        <v>119</v>
      </c>
      <c r="I364" s="23" t="n">
        <f aca="false">G364-H364</f>
        <v>30</v>
      </c>
      <c r="J364" s="21" t="str">
        <f aca="false">IF(I364&lt;50,"LOW-IN-STOCK","IN-STOCK")</f>
        <v>LOW-IN-STOCK</v>
      </c>
      <c r="K364" s="22" t="n">
        <f aca="false">E364*G364</f>
        <v>3064.93</v>
      </c>
      <c r="L364" s="22" t="n">
        <f aca="false">F364*H364</f>
        <v>4522</v>
      </c>
      <c r="M364" s="22" t="n">
        <f aca="false">L364-K364</f>
        <v>1457.07</v>
      </c>
    </row>
    <row r="365" customFormat="false" ht="15" hidden="false" customHeight="false" outlineLevel="0" collapsed="false">
      <c r="A365" s="21" t="s">
        <v>534</v>
      </c>
      <c r="B365" s="21" t="s">
        <v>159</v>
      </c>
      <c r="C365" s="21" t="s">
        <v>93</v>
      </c>
      <c r="D365" s="21" t="s">
        <v>102</v>
      </c>
      <c r="E365" s="22" t="n">
        <v>11.46</v>
      </c>
      <c r="F365" s="22" t="n">
        <v>15.93</v>
      </c>
      <c r="G365" s="23" t="n">
        <v>399</v>
      </c>
      <c r="H365" s="23" t="n">
        <v>195</v>
      </c>
      <c r="I365" s="23" t="n">
        <f aca="false">G365-H365</f>
        <v>204</v>
      </c>
      <c r="J365" s="21" t="str">
        <f aca="false">IF(I365&lt;50,"LOW-IN-STOCK","IN-STOCK")</f>
        <v>IN-STOCK</v>
      </c>
      <c r="K365" s="22" t="n">
        <f aca="false">E365*G365</f>
        <v>4572.54</v>
      </c>
      <c r="L365" s="22" t="n">
        <f aca="false">F365*H365</f>
        <v>3106.35</v>
      </c>
      <c r="M365" s="22" t="n">
        <f aca="false">L365-K365</f>
        <v>-1466.19</v>
      </c>
    </row>
    <row r="366" customFormat="false" ht="15" hidden="false" customHeight="false" outlineLevel="0" collapsed="false">
      <c r="A366" s="21" t="s">
        <v>535</v>
      </c>
      <c r="B366" s="21" t="s">
        <v>216</v>
      </c>
      <c r="C366" s="21" t="s">
        <v>107</v>
      </c>
      <c r="D366" s="21" t="s">
        <v>76</v>
      </c>
      <c r="E366" s="22" t="n">
        <v>14.11</v>
      </c>
      <c r="F366" s="22" t="n">
        <v>23.39</v>
      </c>
      <c r="G366" s="23" t="n">
        <v>194</v>
      </c>
      <c r="H366" s="23" t="n">
        <v>132</v>
      </c>
      <c r="I366" s="23" t="n">
        <f aca="false">G366-H366</f>
        <v>62</v>
      </c>
      <c r="J366" s="21" t="str">
        <f aca="false">IF(I366&lt;50,"LOW-IN-STOCK","IN-STOCK")</f>
        <v>IN-STOCK</v>
      </c>
      <c r="K366" s="22" t="n">
        <f aca="false">E366*G366</f>
        <v>2737.34</v>
      </c>
      <c r="L366" s="22" t="n">
        <f aca="false">F366*H366</f>
        <v>3087.48</v>
      </c>
      <c r="M366" s="22" t="n">
        <f aca="false">L366-K366</f>
        <v>350.14</v>
      </c>
    </row>
    <row r="367" customFormat="false" ht="15" hidden="false" customHeight="false" outlineLevel="0" collapsed="false">
      <c r="A367" s="21" t="s">
        <v>536</v>
      </c>
      <c r="B367" s="21" t="s">
        <v>216</v>
      </c>
      <c r="C367" s="21" t="s">
        <v>107</v>
      </c>
      <c r="D367" s="21" t="s">
        <v>114</v>
      </c>
      <c r="E367" s="22" t="n">
        <v>0.77</v>
      </c>
      <c r="F367" s="22" t="n">
        <v>1.36</v>
      </c>
      <c r="G367" s="23" t="n">
        <v>352</v>
      </c>
      <c r="H367" s="23" t="n">
        <v>235</v>
      </c>
      <c r="I367" s="23" t="n">
        <f aca="false">G367-H367</f>
        <v>117</v>
      </c>
      <c r="J367" s="21" t="str">
        <f aca="false">IF(I367&lt;50,"LOW-IN-STOCK","IN-STOCK")</f>
        <v>IN-STOCK</v>
      </c>
      <c r="K367" s="22" t="n">
        <f aca="false">E367*G367</f>
        <v>271.04</v>
      </c>
      <c r="L367" s="22" t="n">
        <f aca="false">F367*H367</f>
        <v>319.6</v>
      </c>
      <c r="M367" s="22" t="n">
        <f aca="false">L367-K367</f>
        <v>48.56</v>
      </c>
    </row>
    <row r="368" customFormat="false" ht="15" hidden="false" customHeight="false" outlineLevel="0" collapsed="false">
      <c r="A368" s="21" t="s">
        <v>537</v>
      </c>
      <c r="B368" s="21" t="s">
        <v>78</v>
      </c>
      <c r="C368" s="21" t="s">
        <v>79</v>
      </c>
      <c r="D368" s="21" t="s">
        <v>84</v>
      </c>
      <c r="E368" s="22" t="n">
        <v>4.76</v>
      </c>
      <c r="F368" s="22" t="n">
        <v>9.73</v>
      </c>
      <c r="G368" s="23" t="n">
        <v>134</v>
      </c>
      <c r="H368" s="23" t="n">
        <v>61</v>
      </c>
      <c r="I368" s="23" t="n">
        <f aca="false">G368-H368</f>
        <v>73</v>
      </c>
      <c r="J368" s="21" t="str">
        <f aca="false">IF(I368&lt;50,"LOW-IN-STOCK","IN-STOCK")</f>
        <v>IN-STOCK</v>
      </c>
      <c r="K368" s="22" t="n">
        <f aca="false">E368*G368</f>
        <v>637.84</v>
      </c>
      <c r="L368" s="22" t="n">
        <f aca="false">F368*H368</f>
        <v>593.53</v>
      </c>
      <c r="M368" s="22" t="n">
        <f aca="false">L368-K368</f>
        <v>-44.3099999999999</v>
      </c>
    </row>
    <row r="369" customFormat="false" ht="15" hidden="false" customHeight="false" outlineLevel="0" collapsed="false">
      <c r="A369" s="21" t="s">
        <v>538</v>
      </c>
      <c r="B369" s="21" t="s">
        <v>164</v>
      </c>
      <c r="C369" s="21" t="s">
        <v>93</v>
      </c>
      <c r="D369" s="21" t="s">
        <v>99</v>
      </c>
      <c r="E369" s="22" t="n">
        <v>10.14</v>
      </c>
      <c r="F369" s="22" t="n">
        <v>18.04</v>
      </c>
      <c r="G369" s="23" t="n">
        <v>135</v>
      </c>
      <c r="H369" s="23" t="n">
        <v>44</v>
      </c>
      <c r="I369" s="23" t="n">
        <f aca="false">G369-H369</f>
        <v>91</v>
      </c>
      <c r="J369" s="21" t="str">
        <f aca="false">IF(I369&lt;50,"LOW-IN-STOCK","IN-STOCK")</f>
        <v>IN-STOCK</v>
      </c>
      <c r="K369" s="22" t="n">
        <f aca="false">E369*G369</f>
        <v>1368.9</v>
      </c>
      <c r="L369" s="22" t="n">
        <f aca="false">F369*H369</f>
        <v>793.76</v>
      </c>
      <c r="M369" s="22" t="n">
        <f aca="false">L369-K369</f>
        <v>-575.14</v>
      </c>
    </row>
    <row r="370" customFormat="false" ht="15" hidden="false" customHeight="false" outlineLevel="0" collapsed="false">
      <c r="A370" s="21" t="s">
        <v>539</v>
      </c>
      <c r="B370" s="21" t="s">
        <v>332</v>
      </c>
      <c r="C370" s="21" t="s">
        <v>107</v>
      </c>
      <c r="D370" s="21" t="s">
        <v>80</v>
      </c>
      <c r="E370" s="22" t="n">
        <v>11.57</v>
      </c>
      <c r="F370" s="22" t="n">
        <v>21.13</v>
      </c>
      <c r="G370" s="23" t="n">
        <v>415</v>
      </c>
      <c r="H370" s="23" t="n">
        <v>53</v>
      </c>
      <c r="I370" s="23" t="n">
        <f aca="false">G370-H370</f>
        <v>362</v>
      </c>
      <c r="J370" s="21" t="str">
        <f aca="false">IF(I370&lt;50,"LOW-IN-STOCK","IN-STOCK")</f>
        <v>IN-STOCK</v>
      </c>
      <c r="K370" s="22" t="n">
        <f aca="false">E370*G370</f>
        <v>4801.55</v>
      </c>
      <c r="L370" s="22" t="n">
        <f aca="false">F370*H370</f>
        <v>1119.89</v>
      </c>
      <c r="M370" s="22" t="n">
        <f aca="false">L370-K370</f>
        <v>-3681.66</v>
      </c>
    </row>
    <row r="371" customFormat="false" ht="15" hidden="false" customHeight="false" outlineLevel="0" collapsed="false">
      <c r="A371" s="21" t="s">
        <v>540</v>
      </c>
      <c r="B371" s="21" t="s">
        <v>101</v>
      </c>
      <c r="C371" s="21" t="s">
        <v>83</v>
      </c>
      <c r="D371" s="21" t="s">
        <v>99</v>
      </c>
      <c r="E371" s="22" t="n">
        <v>1.92</v>
      </c>
      <c r="F371" s="22" t="n">
        <v>3.91</v>
      </c>
      <c r="G371" s="23" t="n">
        <v>90</v>
      </c>
      <c r="H371" s="23" t="n">
        <v>21</v>
      </c>
      <c r="I371" s="23" t="n">
        <f aca="false">G371-H371</f>
        <v>69</v>
      </c>
      <c r="J371" s="21" t="str">
        <f aca="false">IF(I371&lt;50,"LOW-IN-STOCK","IN-STOCK")</f>
        <v>IN-STOCK</v>
      </c>
      <c r="K371" s="22" t="n">
        <f aca="false">E371*G371</f>
        <v>172.8</v>
      </c>
      <c r="L371" s="22" t="n">
        <f aca="false">F371*H371</f>
        <v>82.11</v>
      </c>
      <c r="M371" s="22" t="n">
        <f aca="false">L371-K371</f>
        <v>-90.69</v>
      </c>
    </row>
    <row r="372" customFormat="false" ht="15" hidden="false" customHeight="false" outlineLevel="0" collapsed="false">
      <c r="A372" s="21" t="s">
        <v>541</v>
      </c>
      <c r="B372" s="21" t="s">
        <v>136</v>
      </c>
      <c r="C372" s="21" t="s">
        <v>87</v>
      </c>
      <c r="D372" s="21" t="s">
        <v>160</v>
      </c>
      <c r="E372" s="22" t="n">
        <v>5.69</v>
      </c>
      <c r="F372" s="22" t="n">
        <v>9.66</v>
      </c>
      <c r="G372" s="23" t="n">
        <v>322</v>
      </c>
      <c r="H372" s="23" t="n">
        <v>179</v>
      </c>
      <c r="I372" s="23" t="n">
        <f aca="false">G372-H372</f>
        <v>143</v>
      </c>
      <c r="J372" s="21" t="str">
        <f aca="false">IF(I372&lt;50,"LOW-IN-STOCK","IN-STOCK")</f>
        <v>IN-STOCK</v>
      </c>
      <c r="K372" s="22" t="n">
        <f aca="false">E372*G372</f>
        <v>1832.18</v>
      </c>
      <c r="L372" s="22" t="n">
        <f aca="false">F372*H372</f>
        <v>1729.14</v>
      </c>
      <c r="M372" s="22" t="n">
        <f aca="false">L372-K372</f>
        <v>-103.04</v>
      </c>
    </row>
    <row r="373" customFormat="false" ht="15" hidden="false" customHeight="false" outlineLevel="0" collapsed="false">
      <c r="A373" s="21" t="s">
        <v>542</v>
      </c>
      <c r="B373" s="21" t="s">
        <v>129</v>
      </c>
      <c r="C373" s="21" t="s">
        <v>83</v>
      </c>
      <c r="D373" s="21" t="s">
        <v>114</v>
      </c>
      <c r="E373" s="22" t="n">
        <v>23.28</v>
      </c>
      <c r="F373" s="22" t="n">
        <v>47.3</v>
      </c>
      <c r="G373" s="23" t="n">
        <v>132</v>
      </c>
      <c r="H373" s="23" t="n">
        <v>35</v>
      </c>
      <c r="I373" s="23" t="n">
        <f aca="false">G373-H373</f>
        <v>97</v>
      </c>
      <c r="J373" s="21" t="str">
        <f aca="false">IF(I373&lt;50,"LOW-IN-STOCK","IN-STOCK")</f>
        <v>IN-STOCK</v>
      </c>
      <c r="K373" s="22" t="n">
        <f aca="false">E373*G373</f>
        <v>3072.96</v>
      </c>
      <c r="L373" s="22" t="n">
        <f aca="false">F373*H373</f>
        <v>1655.5</v>
      </c>
      <c r="M373" s="22" t="n">
        <f aca="false">L373-K373</f>
        <v>-1417.46</v>
      </c>
    </row>
    <row r="374" customFormat="false" ht="15" hidden="false" customHeight="false" outlineLevel="0" collapsed="false">
      <c r="A374" s="21" t="s">
        <v>543</v>
      </c>
      <c r="B374" s="21" t="s">
        <v>110</v>
      </c>
      <c r="C374" s="21" t="s">
        <v>93</v>
      </c>
      <c r="D374" s="21" t="s">
        <v>88</v>
      </c>
      <c r="E374" s="22" t="n">
        <v>10.1</v>
      </c>
      <c r="F374" s="22" t="n">
        <v>18.24</v>
      </c>
      <c r="G374" s="23" t="n">
        <v>408</v>
      </c>
      <c r="H374" s="23" t="n">
        <v>320</v>
      </c>
      <c r="I374" s="23" t="n">
        <f aca="false">G374-H374</f>
        <v>88</v>
      </c>
      <c r="J374" s="21" t="str">
        <f aca="false">IF(I374&lt;50,"LOW-IN-STOCK","IN-STOCK")</f>
        <v>IN-STOCK</v>
      </c>
      <c r="K374" s="22" t="n">
        <f aca="false">E374*G374</f>
        <v>4120.8</v>
      </c>
      <c r="L374" s="22" t="n">
        <f aca="false">F374*H374</f>
        <v>5836.8</v>
      </c>
      <c r="M374" s="22" t="n">
        <f aca="false">L374-K374</f>
        <v>1716</v>
      </c>
    </row>
    <row r="375" customFormat="false" ht="15" hidden="false" customHeight="false" outlineLevel="0" collapsed="false">
      <c r="A375" s="21" t="s">
        <v>544</v>
      </c>
      <c r="B375" s="21" t="s">
        <v>201</v>
      </c>
      <c r="C375" s="21" t="s">
        <v>107</v>
      </c>
      <c r="D375" s="21" t="s">
        <v>88</v>
      </c>
      <c r="E375" s="22" t="n">
        <v>14.74</v>
      </c>
      <c r="F375" s="22" t="n">
        <v>32.35</v>
      </c>
      <c r="G375" s="23" t="n">
        <v>259</v>
      </c>
      <c r="H375" s="23" t="n">
        <v>238</v>
      </c>
      <c r="I375" s="23" t="n">
        <f aca="false">G375-H375</f>
        <v>21</v>
      </c>
      <c r="J375" s="21" t="str">
        <f aca="false">IF(I375&lt;50,"LOW-IN-STOCK","IN-STOCK")</f>
        <v>LOW-IN-STOCK</v>
      </c>
      <c r="K375" s="22" t="n">
        <f aca="false">E375*G375</f>
        <v>3817.66</v>
      </c>
      <c r="L375" s="22" t="n">
        <f aca="false">F375*H375</f>
        <v>7699.3</v>
      </c>
      <c r="M375" s="22" t="n">
        <f aca="false">L375-K375</f>
        <v>3881.64</v>
      </c>
    </row>
    <row r="376" customFormat="false" ht="15" hidden="false" customHeight="false" outlineLevel="0" collapsed="false">
      <c r="A376" s="21" t="s">
        <v>545</v>
      </c>
      <c r="B376" s="21" t="s">
        <v>141</v>
      </c>
      <c r="C376" s="21" t="s">
        <v>107</v>
      </c>
      <c r="D376" s="21" t="s">
        <v>80</v>
      </c>
      <c r="E376" s="22" t="n">
        <v>10.35</v>
      </c>
      <c r="F376" s="22" t="n">
        <v>21.11</v>
      </c>
      <c r="G376" s="23" t="n">
        <v>124</v>
      </c>
      <c r="H376" s="23" t="n">
        <v>49</v>
      </c>
      <c r="I376" s="23" t="n">
        <f aca="false">G376-H376</f>
        <v>75</v>
      </c>
      <c r="J376" s="21" t="str">
        <f aca="false">IF(I376&lt;50,"LOW-IN-STOCK","IN-STOCK")</f>
        <v>IN-STOCK</v>
      </c>
      <c r="K376" s="22" t="n">
        <f aca="false">E376*G376</f>
        <v>1283.4</v>
      </c>
      <c r="L376" s="22" t="n">
        <f aca="false">F376*H376</f>
        <v>1034.39</v>
      </c>
      <c r="M376" s="22" t="n">
        <f aca="false">L376-K376</f>
        <v>-249.01</v>
      </c>
    </row>
    <row r="377" customFormat="false" ht="15" hidden="false" customHeight="false" outlineLevel="0" collapsed="false">
      <c r="A377" s="21" t="s">
        <v>546</v>
      </c>
      <c r="B377" s="21" t="s">
        <v>227</v>
      </c>
      <c r="C377" s="21" t="s">
        <v>148</v>
      </c>
      <c r="D377" s="21" t="s">
        <v>114</v>
      </c>
      <c r="E377" s="22" t="n">
        <v>37</v>
      </c>
      <c r="F377" s="22" t="n">
        <v>55.01</v>
      </c>
      <c r="G377" s="23" t="n">
        <v>102</v>
      </c>
      <c r="H377" s="23" t="n">
        <v>64</v>
      </c>
      <c r="I377" s="23" t="n">
        <f aca="false">G377-H377</f>
        <v>38</v>
      </c>
      <c r="J377" s="21" t="str">
        <f aca="false">IF(I377&lt;50,"LOW-IN-STOCK","IN-STOCK")</f>
        <v>LOW-IN-STOCK</v>
      </c>
      <c r="K377" s="22" t="n">
        <f aca="false">E377*G377</f>
        <v>3774</v>
      </c>
      <c r="L377" s="22" t="n">
        <f aca="false">F377*H377</f>
        <v>3520.64</v>
      </c>
      <c r="M377" s="22" t="n">
        <f aca="false">L377-K377</f>
        <v>-253.36</v>
      </c>
    </row>
    <row r="378" customFormat="false" ht="15" hidden="false" customHeight="false" outlineLevel="0" collapsed="false">
      <c r="A378" s="21" t="s">
        <v>547</v>
      </c>
      <c r="B378" s="21" t="s">
        <v>154</v>
      </c>
      <c r="C378" s="21" t="s">
        <v>93</v>
      </c>
      <c r="D378" s="21" t="s">
        <v>99</v>
      </c>
      <c r="E378" s="22" t="n">
        <v>8.42</v>
      </c>
      <c r="F378" s="22" t="n">
        <v>11.82</v>
      </c>
      <c r="G378" s="23" t="n">
        <v>247</v>
      </c>
      <c r="H378" s="23" t="n">
        <v>60</v>
      </c>
      <c r="I378" s="23" t="n">
        <f aca="false">G378-H378</f>
        <v>187</v>
      </c>
      <c r="J378" s="21" t="str">
        <f aca="false">IF(I378&lt;50,"LOW-IN-STOCK","IN-STOCK")</f>
        <v>IN-STOCK</v>
      </c>
      <c r="K378" s="22" t="n">
        <f aca="false">E378*G378</f>
        <v>2079.74</v>
      </c>
      <c r="L378" s="22" t="n">
        <f aca="false">F378*H378</f>
        <v>709.2</v>
      </c>
      <c r="M378" s="22" t="n">
        <f aca="false">L378-K378</f>
        <v>-1370.54</v>
      </c>
    </row>
    <row r="379" customFormat="false" ht="15" hidden="false" customHeight="false" outlineLevel="0" collapsed="false">
      <c r="A379" s="21" t="s">
        <v>548</v>
      </c>
      <c r="B379" s="21" t="s">
        <v>132</v>
      </c>
      <c r="C379" s="21" t="s">
        <v>87</v>
      </c>
      <c r="D379" s="21" t="s">
        <v>88</v>
      </c>
      <c r="E379" s="22" t="n">
        <v>21.98</v>
      </c>
      <c r="F379" s="22" t="n">
        <v>47.88</v>
      </c>
      <c r="G379" s="23" t="n">
        <v>395</v>
      </c>
      <c r="H379" s="23" t="n">
        <v>269</v>
      </c>
      <c r="I379" s="23" t="n">
        <f aca="false">G379-H379</f>
        <v>126</v>
      </c>
      <c r="J379" s="21" t="str">
        <f aca="false">IF(I379&lt;50,"LOW-IN-STOCK","IN-STOCK")</f>
        <v>IN-STOCK</v>
      </c>
      <c r="K379" s="22" t="n">
        <f aca="false">E379*G379</f>
        <v>8682.1</v>
      </c>
      <c r="L379" s="22" t="n">
        <f aca="false">F379*H379</f>
        <v>12879.72</v>
      </c>
      <c r="M379" s="22" t="n">
        <f aca="false">L379-K379</f>
        <v>4197.62</v>
      </c>
    </row>
    <row r="380" customFormat="false" ht="15" hidden="false" customHeight="false" outlineLevel="0" collapsed="false">
      <c r="A380" s="21" t="s">
        <v>549</v>
      </c>
      <c r="B380" s="21" t="s">
        <v>110</v>
      </c>
      <c r="C380" s="21" t="s">
        <v>93</v>
      </c>
      <c r="D380" s="21" t="s">
        <v>108</v>
      </c>
      <c r="E380" s="22" t="n">
        <v>5.08</v>
      </c>
      <c r="F380" s="22" t="n">
        <v>9.66</v>
      </c>
      <c r="G380" s="23" t="n">
        <v>35</v>
      </c>
      <c r="H380" s="23" t="n">
        <v>18</v>
      </c>
      <c r="I380" s="23" t="n">
        <f aca="false">G380-H380</f>
        <v>17</v>
      </c>
      <c r="J380" s="21" t="str">
        <f aca="false">IF(I380&lt;50,"LOW-IN-STOCK","IN-STOCK")</f>
        <v>LOW-IN-STOCK</v>
      </c>
      <c r="K380" s="22" t="n">
        <f aca="false">E380*G380</f>
        <v>177.8</v>
      </c>
      <c r="L380" s="22" t="n">
        <f aca="false">F380*H380</f>
        <v>173.88</v>
      </c>
      <c r="M380" s="22" t="n">
        <f aca="false">L380-K380</f>
        <v>-3.92000000000002</v>
      </c>
    </row>
    <row r="381" customFormat="false" ht="15" hidden="false" customHeight="false" outlineLevel="0" collapsed="false">
      <c r="A381" s="21" t="s">
        <v>550</v>
      </c>
      <c r="B381" s="21" t="s">
        <v>411</v>
      </c>
      <c r="C381" s="21" t="s">
        <v>107</v>
      </c>
      <c r="D381" s="21" t="s">
        <v>108</v>
      </c>
      <c r="E381" s="22" t="n">
        <v>10.79</v>
      </c>
      <c r="F381" s="22" t="n">
        <v>21.89</v>
      </c>
      <c r="G381" s="23" t="n">
        <v>123</v>
      </c>
      <c r="H381" s="23" t="n">
        <v>102</v>
      </c>
      <c r="I381" s="23" t="n">
        <f aca="false">G381-H381</f>
        <v>21</v>
      </c>
      <c r="J381" s="21" t="str">
        <f aca="false">IF(I381&lt;50,"LOW-IN-STOCK","IN-STOCK")</f>
        <v>LOW-IN-STOCK</v>
      </c>
      <c r="K381" s="22" t="n">
        <f aca="false">E381*G381</f>
        <v>1327.17</v>
      </c>
      <c r="L381" s="22" t="n">
        <f aca="false">F381*H381</f>
        <v>2232.78</v>
      </c>
      <c r="M381" s="22" t="n">
        <f aca="false">L381-K381</f>
        <v>905.61</v>
      </c>
    </row>
    <row r="382" customFormat="false" ht="15" hidden="false" customHeight="false" outlineLevel="0" collapsed="false">
      <c r="A382" s="21" t="s">
        <v>551</v>
      </c>
      <c r="B382" s="21" t="s">
        <v>126</v>
      </c>
      <c r="C382" s="21" t="s">
        <v>79</v>
      </c>
      <c r="D382" s="21" t="s">
        <v>137</v>
      </c>
      <c r="E382" s="22" t="n">
        <v>10.36</v>
      </c>
      <c r="F382" s="22" t="n">
        <v>16.8</v>
      </c>
      <c r="G382" s="23" t="n">
        <v>131</v>
      </c>
      <c r="H382" s="23" t="n">
        <v>96</v>
      </c>
      <c r="I382" s="23" t="n">
        <f aca="false">G382-H382</f>
        <v>35</v>
      </c>
      <c r="J382" s="21" t="str">
        <f aca="false">IF(I382&lt;50,"LOW-IN-STOCK","IN-STOCK")</f>
        <v>LOW-IN-STOCK</v>
      </c>
      <c r="K382" s="22" t="n">
        <f aca="false">E382*G382</f>
        <v>1357.16</v>
      </c>
      <c r="L382" s="22" t="n">
        <f aca="false">F382*H382</f>
        <v>1612.8</v>
      </c>
      <c r="M382" s="22" t="n">
        <f aca="false">L382-K382</f>
        <v>255.64</v>
      </c>
    </row>
    <row r="383" customFormat="false" ht="15" hidden="false" customHeight="false" outlineLevel="0" collapsed="false">
      <c r="A383" s="21" t="s">
        <v>552</v>
      </c>
      <c r="B383" s="21" t="s">
        <v>207</v>
      </c>
      <c r="C383" s="21" t="s">
        <v>93</v>
      </c>
      <c r="D383" s="21" t="s">
        <v>80</v>
      </c>
      <c r="E383" s="22" t="n">
        <v>10.43</v>
      </c>
      <c r="F383" s="22" t="n">
        <v>18.48</v>
      </c>
      <c r="G383" s="23" t="n">
        <v>398</v>
      </c>
      <c r="H383" s="23" t="n">
        <v>330</v>
      </c>
      <c r="I383" s="23" t="n">
        <f aca="false">G383-H383</f>
        <v>68</v>
      </c>
      <c r="J383" s="21" t="str">
        <f aca="false">IF(I383&lt;50,"LOW-IN-STOCK","IN-STOCK")</f>
        <v>IN-STOCK</v>
      </c>
      <c r="K383" s="22" t="n">
        <f aca="false">E383*G383</f>
        <v>4151.14</v>
      </c>
      <c r="L383" s="22" t="n">
        <f aca="false">F383*H383</f>
        <v>6098.4</v>
      </c>
      <c r="M383" s="22" t="n">
        <f aca="false">L383-K383</f>
        <v>1947.26</v>
      </c>
    </row>
    <row r="384" customFormat="false" ht="15" hidden="false" customHeight="false" outlineLevel="0" collapsed="false">
      <c r="A384" s="21" t="s">
        <v>553</v>
      </c>
      <c r="B384" s="21" t="s">
        <v>289</v>
      </c>
      <c r="C384" s="21" t="s">
        <v>148</v>
      </c>
      <c r="D384" s="21" t="s">
        <v>99</v>
      </c>
      <c r="E384" s="22" t="n">
        <v>40.84</v>
      </c>
      <c r="F384" s="22" t="n">
        <v>53.48</v>
      </c>
      <c r="G384" s="23" t="n">
        <v>200</v>
      </c>
      <c r="H384" s="23" t="n">
        <v>41</v>
      </c>
      <c r="I384" s="23" t="n">
        <f aca="false">G384-H384</f>
        <v>159</v>
      </c>
      <c r="J384" s="21" t="str">
        <f aca="false">IF(I384&lt;50,"LOW-IN-STOCK","IN-STOCK")</f>
        <v>IN-STOCK</v>
      </c>
      <c r="K384" s="22" t="n">
        <f aca="false">E384*G384</f>
        <v>8168</v>
      </c>
      <c r="L384" s="22" t="n">
        <f aca="false">F384*H384</f>
        <v>2192.68</v>
      </c>
      <c r="M384" s="22" t="n">
        <f aca="false">L384-K384</f>
        <v>-5975.32</v>
      </c>
    </row>
    <row r="385" customFormat="false" ht="15" hidden="false" customHeight="false" outlineLevel="0" collapsed="false">
      <c r="A385" s="21" t="s">
        <v>554</v>
      </c>
      <c r="B385" s="21" t="s">
        <v>186</v>
      </c>
      <c r="C385" s="21" t="s">
        <v>83</v>
      </c>
      <c r="D385" s="21" t="s">
        <v>137</v>
      </c>
      <c r="E385" s="22" t="n">
        <v>6.1</v>
      </c>
      <c r="F385" s="22" t="n">
        <v>10.92</v>
      </c>
      <c r="G385" s="23" t="n">
        <v>162</v>
      </c>
      <c r="H385" s="23" t="n">
        <v>42</v>
      </c>
      <c r="I385" s="23" t="n">
        <f aca="false">G385-H385</f>
        <v>120</v>
      </c>
      <c r="J385" s="21" t="str">
        <f aca="false">IF(I385&lt;50,"LOW-IN-STOCK","IN-STOCK")</f>
        <v>IN-STOCK</v>
      </c>
      <c r="K385" s="22" t="n">
        <f aca="false">E385*G385</f>
        <v>988.2</v>
      </c>
      <c r="L385" s="22" t="n">
        <f aca="false">F385*H385</f>
        <v>458.64</v>
      </c>
      <c r="M385" s="22" t="n">
        <f aca="false">L385-K385</f>
        <v>-529.56</v>
      </c>
    </row>
    <row r="386" customFormat="false" ht="15" hidden="false" customHeight="false" outlineLevel="0" collapsed="false">
      <c r="A386" s="21" t="s">
        <v>555</v>
      </c>
      <c r="B386" s="21" t="s">
        <v>145</v>
      </c>
      <c r="C386" s="21" t="s">
        <v>87</v>
      </c>
      <c r="D386" s="21" t="s">
        <v>114</v>
      </c>
      <c r="E386" s="22" t="n">
        <v>4.51</v>
      </c>
      <c r="F386" s="22" t="n">
        <v>8.83</v>
      </c>
      <c r="G386" s="23" t="n">
        <v>390</v>
      </c>
      <c r="H386" s="23" t="n">
        <v>246</v>
      </c>
      <c r="I386" s="23" t="n">
        <f aca="false">G386-H386</f>
        <v>144</v>
      </c>
      <c r="J386" s="21" t="str">
        <f aca="false">IF(I386&lt;50,"LOW-IN-STOCK","IN-STOCK")</f>
        <v>IN-STOCK</v>
      </c>
      <c r="K386" s="22" t="n">
        <f aca="false">E386*G386</f>
        <v>1758.9</v>
      </c>
      <c r="L386" s="22" t="n">
        <f aca="false">F386*H386</f>
        <v>2172.18</v>
      </c>
      <c r="M386" s="22" t="n">
        <f aca="false">L386-K386</f>
        <v>413.28</v>
      </c>
    </row>
    <row r="387" customFormat="false" ht="15" hidden="false" customHeight="false" outlineLevel="0" collapsed="false">
      <c r="A387" s="21" t="s">
        <v>556</v>
      </c>
      <c r="B387" s="21" t="s">
        <v>136</v>
      </c>
      <c r="C387" s="21" t="s">
        <v>87</v>
      </c>
      <c r="D387" s="21" t="s">
        <v>102</v>
      </c>
      <c r="E387" s="22" t="n">
        <v>7.7</v>
      </c>
      <c r="F387" s="22" t="n">
        <v>11.57</v>
      </c>
      <c r="G387" s="23" t="n">
        <v>61</v>
      </c>
      <c r="H387" s="23" t="n">
        <v>57</v>
      </c>
      <c r="I387" s="23" t="n">
        <f aca="false">G387-H387</f>
        <v>4</v>
      </c>
      <c r="J387" s="21" t="str">
        <f aca="false">IF(I387&lt;50,"LOW-IN-STOCK","IN-STOCK")</f>
        <v>LOW-IN-STOCK</v>
      </c>
      <c r="K387" s="22" t="n">
        <f aca="false">E387*G387</f>
        <v>469.7</v>
      </c>
      <c r="L387" s="22" t="n">
        <f aca="false">F387*H387</f>
        <v>659.49</v>
      </c>
      <c r="M387" s="22" t="n">
        <f aca="false">L387-K387</f>
        <v>189.79</v>
      </c>
    </row>
    <row r="388" customFormat="false" ht="15" hidden="false" customHeight="false" outlineLevel="0" collapsed="false">
      <c r="A388" s="21" t="s">
        <v>557</v>
      </c>
      <c r="B388" s="21" t="s">
        <v>280</v>
      </c>
      <c r="C388" s="21" t="s">
        <v>83</v>
      </c>
      <c r="D388" s="21" t="s">
        <v>114</v>
      </c>
      <c r="E388" s="22" t="n">
        <v>23.54</v>
      </c>
      <c r="F388" s="22" t="n">
        <v>34.9</v>
      </c>
      <c r="G388" s="23" t="n">
        <v>411</v>
      </c>
      <c r="H388" s="23" t="n">
        <v>299</v>
      </c>
      <c r="I388" s="23" t="n">
        <f aca="false">G388-H388</f>
        <v>112</v>
      </c>
      <c r="J388" s="21" t="str">
        <f aca="false">IF(I388&lt;50,"LOW-IN-STOCK","IN-STOCK")</f>
        <v>IN-STOCK</v>
      </c>
      <c r="K388" s="22" t="n">
        <f aca="false">E388*G388</f>
        <v>9674.94</v>
      </c>
      <c r="L388" s="22" t="n">
        <f aca="false">F388*H388</f>
        <v>10435.1</v>
      </c>
      <c r="M388" s="22" t="n">
        <f aca="false">L388-K388</f>
        <v>760.16</v>
      </c>
    </row>
    <row r="389" customFormat="false" ht="15" hidden="false" customHeight="false" outlineLevel="0" collapsed="false">
      <c r="A389" s="21" t="s">
        <v>558</v>
      </c>
      <c r="B389" s="21" t="s">
        <v>164</v>
      </c>
      <c r="C389" s="21" t="s">
        <v>93</v>
      </c>
      <c r="D389" s="21" t="s">
        <v>99</v>
      </c>
      <c r="E389" s="22" t="n">
        <v>7.26</v>
      </c>
      <c r="F389" s="22" t="n">
        <v>10.48</v>
      </c>
      <c r="G389" s="23" t="n">
        <v>73</v>
      </c>
      <c r="H389" s="23" t="n">
        <v>59</v>
      </c>
      <c r="I389" s="23" t="n">
        <f aca="false">G389-H389</f>
        <v>14</v>
      </c>
      <c r="J389" s="21" t="str">
        <f aca="false">IF(I389&lt;50,"LOW-IN-STOCK","IN-STOCK")</f>
        <v>LOW-IN-STOCK</v>
      </c>
      <c r="K389" s="22" t="n">
        <f aca="false">E389*G389</f>
        <v>529.98</v>
      </c>
      <c r="L389" s="22" t="n">
        <f aca="false">F389*H389</f>
        <v>618.32</v>
      </c>
      <c r="M389" s="22" t="n">
        <f aca="false">L389-K389</f>
        <v>88.34</v>
      </c>
    </row>
    <row r="390" customFormat="false" ht="15" hidden="false" customHeight="false" outlineLevel="0" collapsed="false">
      <c r="A390" s="21" t="s">
        <v>559</v>
      </c>
      <c r="B390" s="21" t="s">
        <v>174</v>
      </c>
      <c r="C390" s="21" t="s">
        <v>113</v>
      </c>
      <c r="D390" s="21" t="s">
        <v>88</v>
      </c>
      <c r="E390" s="22" t="n">
        <v>34.74</v>
      </c>
      <c r="F390" s="22" t="n">
        <v>45.36</v>
      </c>
      <c r="G390" s="23" t="n">
        <v>39</v>
      </c>
      <c r="H390" s="23" t="n">
        <v>14</v>
      </c>
      <c r="I390" s="23" t="n">
        <f aca="false">G390-H390</f>
        <v>25</v>
      </c>
      <c r="J390" s="21" t="str">
        <f aca="false">IF(I390&lt;50,"LOW-IN-STOCK","IN-STOCK")</f>
        <v>LOW-IN-STOCK</v>
      </c>
      <c r="K390" s="22" t="n">
        <f aca="false">E390*G390</f>
        <v>1354.86</v>
      </c>
      <c r="L390" s="22" t="n">
        <f aca="false">F390*H390</f>
        <v>635.04</v>
      </c>
      <c r="M390" s="22" t="n">
        <f aca="false">L390-K390</f>
        <v>-719.82</v>
      </c>
    </row>
    <row r="391" customFormat="false" ht="15" hidden="false" customHeight="false" outlineLevel="0" collapsed="false">
      <c r="A391" s="21" t="s">
        <v>560</v>
      </c>
      <c r="B391" s="21" t="s">
        <v>282</v>
      </c>
      <c r="C391" s="21" t="s">
        <v>79</v>
      </c>
      <c r="D391" s="21" t="s">
        <v>102</v>
      </c>
      <c r="E391" s="22" t="n">
        <v>10.13</v>
      </c>
      <c r="F391" s="22" t="n">
        <v>17.66</v>
      </c>
      <c r="G391" s="23" t="n">
        <v>20</v>
      </c>
      <c r="H391" s="23" t="n">
        <v>11</v>
      </c>
      <c r="I391" s="23" t="n">
        <f aca="false">G391-H391</f>
        <v>9</v>
      </c>
      <c r="J391" s="21" t="str">
        <f aca="false">IF(I391&lt;50,"LOW-IN-STOCK","IN-STOCK")</f>
        <v>LOW-IN-STOCK</v>
      </c>
      <c r="K391" s="22" t="n">
        <f aca="false">E391*G391</f>
        <v>202.6</v>
      </c>
      <c r="L391" s="22" t="n">
        <f aca="false">F391*H391</f>
        <v>194.26</v>
      </c>
      <c r="M391" s="22" t="n">
        <f aca="false">L391-K391</f>
        <v>-8.34000000000003</v>
      </c>
    </row>
    <row r="392" customFormat="false" ht="15" hidden="false" customHeight="false" outlineLevel="0" collapsed="false">
      <c r="A392" s="21" t="s">
        <v>561</v>
      </c>
      <c r="B392" s="21" t="s">
        <v>239</v>
      </c>
      <c r="C392" s="21" t="s">
        <v>113</v>
      </c>
      <c r="D392" s="21" t="s">
        <v>102</v>
      </c>
      <c r="E392" s="22" t="n">
        <v>11.82</v>
      </c>
      <c r="F392" s="22" t="n">
        <v>25.26</v>
      </c>
      <c r="G392" s="23" t="n">
        <v>108</v>
      </c>
      <c r="H392" s="23" t="n">
        <v>43</v>
      </c>
      <c r="I392" s="23" t="n">
        <f aca="false">G392-H392</f>
        <v>65</v>
      </c>
      <c r="J392" s="21" t="str">
        <f aca="false">IF(I392&lt;50,"LOW-IN-STOCK","IN-STOCK")</f>
        <v>IN-STOCK</v>
      </c>
      <c r="K392" s="22" t="n">
        <f aca="false">E392*G392</f>
        <v>1276.56</v>
      </c>
      <c r="L392" s="22" t="n">
        <f aca="false">F392*H392</f>
        <v>1086.18</v>
      </c>
      <c r="M392" s="22" t="n">
        <f aca="false">L392-K392</f>
        <v>-190.38</v>
      </c>
    </row>
    <row r="393" customFormat="false" ht="15" hidden="false" customHeight="false" outlineLevel="0" collapsed="false">
      <c r="A393" s="21" t="s">
        <v>562</v>
      </c>
      <c r="B393" s="21" t="s">
        <v>78</v>
      </c>
      <c r="C393" s="21" t="s">
        <v>79</v>
      </c>
      <c r="D393" s="21" t="s">
        <v>88</v>
      </c>
      <c r="E393" s="22" t="n">
        <v>11.3</v>
      </c>
      <c r="F393" s="22" t="n">
        <v>17.07</v>
      </c>
      <c r="G393" s="23" t="n">
        <v>76</v>
      </c>
      <c r="H393" s="23" t="n">
        <v>71</v>
      </c>
      <c r="I393" s="23" t="n">
        <f aca="false">G393-H393</f>
        <v>5</v>
      </c>
      <c r="J393" s="21" t="str">
        <f aca="false">IF(I393&lt;50,"LOW-IN-STOCK","IN-STOCK")</f>
        <v>LOW-IN-STOCK</v>
      </c>
      <c r="K393" s="22" t="n">
        <f aca="false">E393*G393</f>
        <v>858.8</v>
      </c>
      <c r="L393" s="22" t="n">
        <f aca="false">F393*H393</f>
        <v>1211.97</v>
      </c>
      <c r="M393" s="22" t="n">
        <f aca="false">L393-K393</f>
        <v>353.17</v>
      </c>
    </row>
    <row r="394" customFormat="false" ht="15" hidden="false" customHeight="false" outlineLevel="0" collapsed="false">
      <c r="A394" s="21" t="s">
        <v>563</v>
      </c>
      <c r="B394" s="21" t="s">
        <v>204</v>
      </c>
      <c r="C394" s="21" t="s">
        <v>148</v>
      </c>
      <c r="D394" s="21" t="s">
        <v>88</v>
      </c>
      <c r="E394" s="22" t="n">
        <v>22.14</v>
      </c>
      <c r="F394" s="22" t="n">
        <v>34.39</v>
      </c>
      <c r="G394" s="23" t="n">
        <v>141</v>
      </c>
      <c r="H394" s="23" t="n">
        <v>112</v>
      </c>
      <c r="I394" s="23" t="n">
        <f aca="false">G394-H394</f>
        <v>29</v>
      </c>
      <c r="J394" s="21" t="str">
        <f aca="false">IF(I394&lt;50,"LOW-IN-STOCK","IN-STOCK")</f>
        <v>LOW-IN-STOCK</v>
      </c>
      <c r="K394" s="22" t="n">
        <f aca="false">E394*G394</f>
        <v>3121.74</v>
      </c>
      <c r="L394" s="22" t="n">
        <f aca="false">F394*H394</f>
        <v>3851.68</v>
      </c>
      <c r="M394" s="22" t="n">
        <f aca="false">L394-K394</f>
        <v>729.94</v>
      </c>
    </row>
    <row r="395" customFormat="false" ht="15" hidden="false" customHeight="false" outlineLevel="0" collapsed="false">
      <c r="A395" s="21" t="s">
        <v>564</v>
      </c>
      <c r="B395" s="21" t="s">
        <v>150</v>
      </c>
      <c r="C395" s="21" t="s">
        <v>148</v>
      </c>
      <c r="D395" s="21" t="s">
        <v>80</v>
      </c>
      <c r="E395" s="22" t="n">
        <v>13.57</v>
      </c>
      <c r="F395" s="22" t="n">
        <v>24.61</v>
      </c>
      <c r="G395" s="23" t="n">
        <v>320</v>
      </c>
      <c r="H395" s="23" t="n">
        <v>282</v>
      </c>
      <c r="I395" s="23" t="n">
        <f aca="false">G395-H395</f>
        <v>38</v>
      </c>
      <c r="J395" s="21" t="str">
        <f aca="false">IF(I395&lt;50,"LOW-IN-STOCK","IN-STOCK")</f>
        <v>LOW-IN-STOCK</v>
      </c>
      <c r="K395" s="22" t="n">
        <f aca="false">E395*G395</f>
        <v>4342.4</v>
      </c>
      <c r="L395" s="22" t="n">
        <f aca="false">F395*H395</f>
        <v>6940.02</v>
      </c>
      <c r="M395" s="22" t="n">
        <f aca="false">L395-K395</f>
        <v>2597.62</v>
      </c>
    </row>
    <row r="396" customFormat="false" ht="15" hidden="false" customHeight="false" outlineLevel="0" collapsed="false">
      <c r="A396" s="21" t="s">
        <v>565</v>
      </c>
      <c r="B396" s="21" t="s">
        <v>118</v>
      </c>
      <c r="C396" s="21" t="s">
        <v>79</v>
      </c>
      <c r="D396" s="21" t="s">
        <v>84</v>
      </c>
      <c r="E396" s="22" t="n">
        <v>12.58</v>
      </c>
      <c r="F396" s="22" t="n">
        <v>18.66</v>
      </c>
      <c r="G396" s="23" t="n">
        <v>297</v>
      </c>
      <c r="H396" s="23" t="n">
        <v>140</v>
      </c>
      <c r="I396" s="23" t="n">
        <f aca="false">G396-H396</f>
        <v>157</v>
      </c>
      <c r="J396" s="21" t="str">
        <f aca="false">IF(I396&lt;50,"LOW-IN-STOCK","IN-STOCK")</f>
        <v>IN-STOCK</v>
      </c>
      <c r="K396" s="22" t="n">
        <f aca="false">E396*G396</f>
        <v>3736.26</v>
      </c>
      <c r="L396" s="22" t="n">
        <f aca="false">F396*H396</f>
        <v>2612.4</v>
      </c>
      <c r="M396" s="22" t="n">
        <f aca="false">L396-K396</f>
        <v>-1123.86</v>
      </c>
    </row>
    <row r="397" customFormat="false" ht="15" hidden="false" customHeight="false" outlineLevel="0" collapsed="false">
      <c r="A397" s="21" t="s">
        <v>566</v>
      </c>
      <c r="B397" s="21" t="s">
        <v>147</v>
      </c>
      <c r="C397" s="21" t="s">
        <v>148</v>
      </c>
      <c r="D397" s="21" t="s">
        <v>80</v>
      </c>
      <c r="E397" s="22" t="n">
        <v>5.47</v>
      </c>
      <c r="F397" s="22" t="n">
        <v>7.98</v>
      </c>
      <c r="G397" s="23" t="n">
        <v>281</v>
      </c>
      <c r="H397" s="23" t="n">
        <v>212</v>
      </c>
      <c r="I397" s="23" t="n">
        <f aca="false">G397-H397</f>
        <v>69</v>
      </c>
      <c r="J397" s="21" t="str">
        <f aca="false">IF(I397&lt;50,"LOW-IN-STOCK","IN-STOCK")</f>
        <v>IN-STOCK</v>
      </c>
      <c r="K397" s="22" t="n">
        <f aca="false">E397*G397</f>
        <v>1537.07</v>
      </c>
      <c r="L397" s="22" t="n">
        <f aca="false">F397*H397</f>
        <v>1691.76</v>
      </c>
      <c r="M397" s="22" t="n">
        <f aca="false">L397-K397</f>
        <v>154.69</v>
      </c>
    </row>
    <row r="398" customFormat="false" ht="15" hidden="false" customHeight="false" outlineLevel="0" collapsed="false">
      <c r="A398" s="21" t="s">
        <v>567</v>
      </c>
      <c r="B398" s="21" t="s">
        <v>276</v>
      </c>
      <c r="C398" s="21" t="s">
        <v>83</v>
      </c>
      <c r="D398" s="21" t="s">
        <v>137</v>
      </c>
      <c r="E398" s="22" t="n">
        <v>16.11</v>
      </c>
      <c r="F398" s="22" t="n">
        <v>35.2</v>
      </c>
      <c r="G398" s="23" t="n">
        <v>446</v>
      </c>
      <c r="H398" s="23" t="n">
        <v>254</v>
      </c>
      <c r="I398" s="23" t="n">
        <f aca="false">G398-H398</f>
        <v>192</v>
      </c>
      <c r="J398" s="21" t="str">
        <f aca="false">IF(I398&lt;50,"LOW-IN-STOCK","IN-STOCK")</f>
        <v>IN-STOCK</v>
      </c>
      <c r="K398" s="22" t="n">
        <f aca="false">E398*G398</f>
        <v>7185.06</v>
      </c>
      <c r="L398" s="22" t="n">
        <f aca="false">F398*H398</f>
        <v>8940.8</v>
      </c>
      <c r="M398" s="22" t="n">
        <f aca="false">L398-K398</f>
        <v>1755.74</v>
      </c>
    </row>
    <row r="399" customFormat="false" ht="15" hidden="false" customHeight="false" outlineLevel="0" collapsed="false">
      <c r="A399" s="21" t="s">
        <v>568</v>
      </c>
      <c r="B399" s="21" t="s">
        <v>235</v>
      </c>
      <c r="C399" s="21" t="s">
        <v>148</v>
      </c>
      <c r="D399" s="21" t="s">
        <v>108</v>
      </c>
      <c r="E399" s="22" t="n">
        <v>75.33</v>
      </c>
      <c r="F399" s="22" t="n">
        <v>133.86</v>
      </c>
      <c r="G399" s="23" t="n">
        <v>413</v>
      </c>
      <c r="H399" s="23" t="n">
        <v>208</v>
      </c>
      <c r="I399" s="23" t="n">
        <f aca="false">G399-H399</f>
        <v>205</v>
      </c>
      <c r="J399" s="21" t="str">
        <f aca="false">IF(I399&lt;50,"LOW-IN-STOCK","IN-STOCK")</f>
        <v>IN-STOCK</v>
      </c>
      <c r="K399" s="22" t="n">
        <f aca="false">E399*G399</f>
        <v>31111.29</v>
      </c>
      <c r="L399" s="22" t="n">
        <f aca="false">F399*H399</f>
        <v>27842.88</v>
      </c>
      <c r="M399" s="22" t="n">
        <f aca="false">L399-K399</f>
        <v>-3268.41</v>
      </c>
    </row>
    <row r="400" customFormat="false" ht="15" hidden="false" customHeight="false" outlineLevel="0" collapsed="false">
      <c r="A400" s="21" t="s">
        <v>569</v>
      </c>
      <c r="B400" s="21" t="s">
        <v>239</v>
      </c>
      <c r="C400" s="21" t="s">
        <v>113</v>
      </c>
      <c r="D400" s="21" t="s">
        <v>108</v>
      </c>
      <c r="E400" s="22" t="n">
        <v>29.74</v>
      </c>
      <c r="F400" s="22" t="n">
        <v>48.44</v>
      </c>
      <c r="G400" s="23" t="n">
        <v>194</v>
      </c>
      <c r="H400" s="23" t="n">
        <v>167</v>
      </c>
      <c r="I400" s="23" t="n">
        <f aca="false">G400-H400</f>
        <v>27</v>
      </c>
      <c r="J400" s="21" t="str">
        <f aca="false">IF(I400&lt;50,"LOW-IN-STOCK","IN-STOCK")</f>
        <v>LOW-IN-STOCK</v>
      </c>
      <c r="K400" s="22" t="n">
        <f aca="false">E400*G400</f>
        <v>5769.56</v>
      </c>
      <c r="L400" s="22" t="n">
        <f aca="false">F400*H400</f>
        <v>8089.48</v>
      </c>
      <c r="M400" s="22" t="n">
        <f aca="false">L400-K400</f>
        <v>2319.92</v>
      </c>
    </row>
    <row r="401" customFormat="false" ht="15" hidden="false" customHeight="false" outlineLevel="0" collapsed="false">
      <c r="A401" s="21" t="s">
        <v>570</v>
      </c>
      <c r="B401" s="21" t="s">
        <v>92</v>
      </c>
      <c r="C401" s="21" t="s">
        <v>93</v>
      </c>
      <c r="D401" s="21" t="s">
        <v>108</v>
      </c>
      <c r="E401" s="22" t="n">
        <v>1.89</v>
      </c>
      <c r="F401" s="22" t="n">
        <v>2.83</v>
      </c>
      <c r="G401" s="23" t="n">
        <v>204</v>
      </c>
      <c r="H401" s="23" t="n">
        <v>68</v>
      </c>
      <c r="I401" s="23" t="n">
        <f aca="false">G401-H401</f>
        <v>136</v>
      </c>
      <c r="J401" s="21" t="str">
        <f aca="false">IF(I401&lt;50,"LOW-IN-STOCK","IN-STOCK")</f>
        <v>IN-STOCK</v>
      </c>
      <c r="K401" s="22" t="n">
        <f aca="false">E401*G401</f>
        <v>385.56</v>
      </c>
      <c r="L401" s="22" t="n">
        <f aca="false">F401*H401</f>
        <v>192.44</v>
      </c>
      <c r="M401" s="22" t="n">
        <f aca="false">L401-K401</f>
        <v>-193.12</v>
      </c>
    </row>
    <row r="402" customFormat="false" ht="15" hidden="false" customHeight="false" outlineLevel="0" collapsed="false">
      <c r="A402" s="21" t="s">
        <v>571</v>
      </c>
      <c r="B402" s="21" t="s">
        <v>78</v>
      </c>
      <c r="C402" s="21" t="s">
        <v>79</v>
      </c>
      <c r="D402" s="21" t="s">
        <v>137</v>
      </c>
      <c r="E402" s="22" t="n">
        <v>10.95</v>
      </c>
      <c r="F402" s="22" t="n">
        <v>22.77</v>
      </c>
      <c r="G402" s="23" t="n">
        <v>354</v>
      </c>
      <c r="H402" s="23" t="n">
        <v>161</v>
      </c>
      <c r="I402" s="23" t="n">
        <f aca="false">G402-H402</f>
        <v>193</v>
      </c>
      <c r="J402" s="21" t="str">
        <f aca="false">IF(I402&lt;50,"LOW-IN-STOCK","IN-STOCK")</f>
        <v>IN-STOCK</v>
      </c>
      <c r="K402" s="22" t="n">
        <f aca="false">E402*G402</f>
        <v>3876.3</v>
      </c>
      <c r="L402" s="22" t="n">
        <f aca="false">F402*H402</f>
        <v>3665.97</v>
      </c>
      <c r="M402" s="22" t="n">
        <f aca="false">L402-K402</f>
        <v>-210.33</v>
      </c>
    </row>
    <row r="403" customFormat="false" ht="15" hidden="false" customHeight="false" outlineLevel="0" collapsed="false">
      <c r="A403" s="21" t="s">
        <v>572</v>
      </c>
      <c r="B403" s="21" t="s">
        <v>289</v>
      </c>
      <c r="C403" s="21" t="s">
        <v>148</v>
      </c>
      <c r="D403" s="21" t="s">
        <v>88</v>
      </c>
      <c r="E403" s="22" t="n">
        <v>60.71</v>
      </c>
      <c r="F403" s="22" t="n">
        <v>93.64</v>
      </c>
      <c r="G403" s="23" t="n">
        <v>121</v>
      </c>
      <c r="H403" s="23" t="n">
        <v>66</v>
      </c>
      <c r="I403" s="23" t="n">
        <f aca="false">G403-H403</f>
        <v>55</v>
      </c>
      <c r="J403" s="21" t="str">
        <f aca="false">IF(I403&lt;50,"LOW-IN-STOCK","IN-STOCK")</f>
        <v>IN-STOCK</v>
      </c>
      <c r="K403" s="22" t="n">
        <f aca="false">E403*G403</f>
        <v>7345.91</v>
      </c>
      <c r="L403" s="22" t="n">
        <f aca="false">F403*H403</f>
        <v>6180.24</v>
      </c>
      <c r="M403" s="22" t="n">
        <f aca="false">L403-K403</f>
        <v>-1165.67</v>
      </c>
    </row>
    <row r="404" customFormat="false" ht="15" hidden="false" customHeight="false" outlineLevel="0" collapsed="false">
      <c r="A404" s="21" t="s">
        <v>573</v>
      </c>
      <c r="B404" s="21" t="s">
        <v>211</v>
      </c>
      <c r="C404" s="21" t="s">
        <v>113</v>
      </c>
      <c r="D404" s="21" t="s">
        <v>137</v>
      </c>
      <c r="E404" s="22" t="n">
        <v>15.61</v>
      </c>
      <c r="F404" s="22" t="n">
        <v>21.46</v>
      </c>
      <c r="G404" s="23" t="n">
        <v>99</v>
      </c>
      <c r="H404" s="23" t="n">
        <v>17</v>
      </c>
      <c r="I404" s="23" t="n">
        <f aca="false">G404-H404</f>
        <v>82</v>
      </c>
      <c r="J404" s="21" t="str">
        <f aca="false">IF(I404&lt;50,"LOW-IN-STOCK","IN-STOCK")</f>
        <v>IN-STOCK</v>
      </c>
      <c r="K404" s="22" t="n">
        <f aca="false">E404*G404</f>
        <v>1545.39</v>
      </c>
      <c r="L404" s="22" t="n">
        <f aca="false">F404*H404</f>
        <v>364.82</v>
      </c>
      <c r="M404" s="22" t="n">
        <f aca="false">L404-K404</f>
        <v>-1180.57</v>
      </c>
    </row>
    <row r="405" customFormat="false" ht="15" hidden="false" customHeight="false" outlineLevel="0" collapsed="false">
      <c r="A405" s="21" t="s">
        <v>574</v>
      </c>
      <c r="B405" s="21" t="s">
        <v>139</v>
      </c>
      <c r="C405" s="21" t="s">
        <v>75</v>
      </c>
      <c r="D405" s="21" t="s">
        <v>114</v>
      </c>
      <c r="E405" s="22" t="n">
        <v>26.41</v>
      </c>
      <c r="F405" s="22" t="n">
        <v>44.58</v>
      </c>
      <c r="G405" s="23" t="n">
        <v>208</v>
      </c>
      <c r="H405" s="23" t="n">
        <v>116</v>
      </c>
      <c r="I405" s="23" t="n">
        <f aca="false">G405-H405</f>
        <v>92</v>
      </c>
      <c r="J405" s="21" t="str">
        <f aca="false">IF(I405&lt;50,"LOW-IN-STOCK","IN-STOCK")</f>
        <v>IN-STOCK</v>
      </c>
      <c r="K405" s="22" t="n">
        <f aca="false">E405*G405</f>
        <v>5493.28</v>
      </c>
      <c r="L405" s="22" t="n">
        <f aca="false">F405*H405</f>
        <v>5171.28</v>
      </c>
      <c r="M405" s="22" t="n">
        <f aca="false">L405-K405</f>
        <v>-322</v>
      </c>
    </row>
    <row r="406" customFormat="false" ht="15" hidden="false" customHeight="false" outlineLevel="0" collapsed="false">
      <c r="A406" s="21" t="s">
        <v>575</v>
      </c>
      <c r="B406" s="21" t="s">
        <v>232</v>
      </c>
      <c r="C406" s="21" t="s">
        <v>79</v>
      </c>
      <c r="D406" s="21" t="s">
        <v>76</v>
      </c>
      <c r="E406" s="22" t="n">
        <v>19.28</v>
      </c>
      <c r="F406" s="22" t="n">
        <v>25.27</v>
      </c>
      <c r="G406" s="23" t="n">
        <v>349</v>
      </c>
      <c r="H406" s="23" t="n">
        <v>257</v>
      </c>
      <c r="I406" s="23" t="n">
        <f aca="false">G406-H406</f>
        <v>92</v>
      </c>
      <c r="J406" s="21" t="str">
        <f aca="false">IF(I406&lt;50,"LOW-IN-STOCK","IN-STOCK")</f>
        <v>IN-STOCK</v>
      </c>
      <c r="K406" s="22" t="n">
        <f aca="false">E406*G406</f>
        <v>6728.72</v>
      </c>
      <c r="L406" s="22" t="n">
        <f aca="false">F406*H406</f>
        <v>6494.39</v>
      </c>
      <c r="M406" s="22" t="n">
        <f aca="false">L406-K406</f>
        <v>-234.33</v>
      </c>
    </row>
    <row r="407" customFormat="false" ht="15" hidden="false" customHeight="false" outlineLevel="0" collapsed="false">
      <c r="A407" s="21" t="s">
        <v>576</v>
      </c>
      <c r="B407" s="21" t="s">
        <v>150</v>
      </c>
      <c r="C407" s="21" t="s">
        <v>148</v>
      </c>
      <c r="D407" s="21" t="s">
        <v>84</v>
      </c>
      <c r="E407" s="22" t="n">
        <v>46.92</v>
      </c>
      <c r="F407" s="22" t="n">
        <v>82.79</v>
      </c>
      <c r="G407" s="23" t="n">
        <v>110</v>
      </c>
      <c r="H407" s="23" t="n">
        <v>43</v>
      </c>
      <c r="I407" s="23" t="n">
        <f aca="false">G407-H407</f>
        <v>67</v>
      </c>
      <c r="J407" s="21" t="str">
        <f aca="false">IF(I407&lt;50,"LOW-IN-STOCK","IN-STOCK")</f>
        <v>IN-STOCK</v>
      </c>
      <c r="K407" s="22" t="n">
        <f aca="false">E407*G407</f>
        <v>5161.2</v>
      </c>
      <c r="L407" s="22" t="n">
        <f aca="false">F407*H407</f>
        <v>3559.97</v>
      </c>
      <c r="M407" s="22" t="n">
        <f aca="false">L407-K407</f>
        <v>-1601.23</v>
      </c>
    </row>
    <row r="408" customFormat="false" ht="15" hidden="false" customHeight="false" outlineLevel="0" collapsed="false">
      <c r="A408" s="21" t="s">
        <v>577</v>
      </c>
      <c r="B408" s="21" t="s">
        <v>104</v>
      </c>
      <c r="C408" s="21" t="s">
        <v>75</v>
      </c>
      <c r="D408" s="21" t="s">
        <v>102</v>
      </c>
      <c r="E408" s="22" t="n">
        <v>11.61</v>
      </c>
      <c r="F408" s="22" t="n">
        <v>18.79</v>
      </c>
      <c r="G408" s="23" t="n">
        <v>442</v>
      </c>
      <c r="H408" s="23" t="n">
        <v>364</v>
      </c>
      <c r="I408" s="23" t="n">
        <f aca="false">G408-H408</f>
        <v>78</v>
      </c>
      <c r="J408" s="21" t="str">
        <f aca="false">IF(I408&lt;50,"LOW-IN-STOCK","IN-STOCK")</f>
        <v>IN-STOCK</v>
      </c>
      <c r="K408" s="22" t="n">
        <f aca="false">E408*G408</f>
        <v>5131.62</v>
      </c>
      <c r="L408" s="22" t="n">
        <f aca="false">F408*H408</f>
        <v>6839.56</v>
      </c>
      <c r="M408" s="22" t="n">
        <f aca="false">L408-K408</f>
        <v>1707.94</v>
      </c>
    </row>
    <row r="409" customFormat="false" ht="15" hidden="false" customHeight="false" outlineLevel="0" collapsed="false">
      <c r="A409" s="21" t="s">
        <v>578</v>
      </c>
      <c r="B409" s="21" t="s">
        <v>120</v>
      </c>
      <c r="C409" s="21" t="s">
        <v>107</v>
      </c>
      <c r="D409" s="21" t="s">
        <v>76</v>
      </c>
      <c r="E409" s="22" t="n">
        <v>11.05</v>
      </c>
      <c r="F409" s="22" t="n">
        <v>21.3</v>
      </c>
      <c r="G409" s="23" t="n">
        <v>66</v>
      </c>
      <c r="H409" s="23" t="n">
        <v>38</v>
      </c>
      <c r="I409" s="23" t="n">
        <f aca="false">G409-H409</f>
        <v>28</v>
      </c>
      <c r="J409" s="21" t="str">
        <f aca="false">IF(I409&lt;50,"LOW-IN-STOCK","IN-STOCK")</f>
        <v>LOW-IN-STOCK</v>
      </c>
      <c r="K409" s="22" t="n">
        <f aca="false">E409*G409</f>
        <v>729.3</v>
      </c>
      <c r="L409" s="22" t="n">
        <f aca="false">F409*H409</f>
        <v>809.4</v>
      </c>
      <c r="M409" s="22" t="n">
        <f aca="false">L409-K409</f>
        <v>80.0999999999999</v>
      </c>
    </row>
    <row r="410" customFormat="false" ht="15" hidden="false" customHeight="false" outlineLevel="0" collapsed="false">
      <c r="A410" s="21" t="s">
        <v>579</v>
      </c>
      <c r="B410" s="21" t="s">
        <v>297</v>
      </c>
      <c r="C410" s="21" t="s">
        <v>107</v>
      </c>
      <c r="D410" s="21" t="s">
        <v>99</v>
      </c>
      <c r="E410" s="22" t="n">
        <v>9.42</v>
      </c>
      <c r="F410" s="22" t="n">
        <v>19.3</v>
      </c>
      <c r="G410" s="23" t="n">
        <v>85</v>
      </c>
      <c r="H410" s="23" t="n">
        <v>33</v>
      </c>
      <c r="I410" s="23" t="n">
        <f aca="false">G410-H410</f>
        <v>52</v>
      </c>
      <c r="J410" s="21" t="str">
        <f aca="false">IF(I410&lt;50,"LOW-IN-STOCK","IN-STOCK")</f>
        <v>IN-STOCK</v>
      </c>
      <c r="K410" s="22" t="n">
        <f aca="false">E410*G410</f>
        <v>800.7</v>
      </c>
      <c r="L410" s="22" t="n">
        <f aca="false">F410*H410</f>
        <v>636.9</v>
      </c>
      <c r="M410" s="22" t="n">
        <f aca="false">L410-K410</f>
        <v>-163.8</v>
      </c>
    </row>
    <row r="411" customFormat="false" ht="15" hidden="false" customHeight="false" outlineLevel="0" collapsed="false">
      <c r="A411" s="21" t="s">
        <v>580</v>
      </c>
      <c r="B411" s="21" t="s">
        <v>141</v>
      </c>
      <c r="C411" s="21" t="s">
        <v>107</v>
      </c>
      <c r="D411" s="21" t="s">
        <v>137</v>
      </c>
      <c r="E411" s="22" t="n">
        <v>8.42</v>
      </c>
      <c r="F411" s="22" t="n">
        <v>17.2</v>
      </c>
      <c r="G411" s="23" t="n">
        <v>456</v>
      </c>
      <c r="H411" s="23" t="n">
        <v>106</v>
      </c>
      <c r="I411" s="23" t="n">
        <f aca="false">G411-H411</f>
        <v>350</v>
      </c>
      <c r="J411" s="21" t="str">
        <f aca="false">IF(I411&lt;50,"LOW-IN-STOCK","IN-STOCK")</f>
        <v>IN-STOCK</v>
      </c>
      <c r="K411" s="22" t="n">
        <f aca="false">E411*G411</f>
        <v>3839.52</v>
      </c>
      <c r="L411" s="22" t="n">
        <f aca="false">F411*H411</f>
        <v>1823.2</v>
      </c>
      <c r="M411" s="22" t="n">
        <f aca="false">L411-K411</f>
        <v>-2016.32</v>
      </c>
    </row>
    <row r="412" customFormat="false" ht="15" hidden="false" customHeight="false" outlineLevel="0" collapsed="false">
      <c r="A412" s="21" t="s">
        <v>581</v>
      </c>
      <c r="B412" s="21" t="s">
        <v>235</v>
      </c>
      <c r="C412" s="21" t="s">
        <v>148</v>
      </c>
      <c r="D412" s="21" t="s">
        <v>99</v>
      </c>
      <c r="E412" s="22" t="n">
        <v>39.76</v>
      </c>
      <c r="F412" s="22" t="n">
        <v>69.66</v>
      </c>
      <c r="G412" s="23" t="n">
        <v>341</v>
      </c>
      <c r="H412" s="23" t="n">
        <v>161</v>
      </c>
      <c r="I412" s="23" t="n">
        <f aca="false">G412-H412</f>
        <v>180</v>
      </c>
      <c r="J412" s="21" t="str">
        <f aca="false">IF(I412&lt;50,"LOW-IN-STOCK","IN-STOCK")</f>
        <v>IN-STOCK</v>
      </c>
      <c r="K412" s="22" t="n">
        <f aca="false">E412*G412</f>
        <v>13558.16</v>
      </c>
      <c r="L412" s="22" t="n">
        <f aca="false">F412*H412</f>
        <v>11215.26</v>
      </c>
      <c r="M412" s="22" t="n">
        <f aca="false">L412-K412</f>
        <v>-2342.9</v>
      </c>
    </row>
    <row r="413" customFormat="false" ht="15" hidden="false" customHeight="false" outlineLevel="0" collapsed="false">
      <c r="A413" s="21" t="s">
        <v>582</v>
      </c>
      <c r="B413" s="21" t="s">
        <v>282</v>
      </c>
      <c r="C413" s="21" t="s">
        <v>79</v>
      </c>
      <c r="D413" s="21" t="s">
        <v>80</v>
      </c>
      <c r="E413" s="22" t="n">
        <v>3.14</v>
      </c>
      <c r="F413" s="22" t="n">
        <v>6.17</v>
      </c>
      <c r="G413" s="23" t="n">
        <v>395</v>
      </c>
      <c r="H413" s="23" t="n">
        <v>136</v>
      </c>
      <c r="I413" s="23" t="n">
        <f aca="false">G413-H413</f>
        <v>259</v>
      </c>
      <c r="J413" s="21" t="str">
        <f aca="false">IF(I413&lt;50,"LOW-IN-STOCK","IN-STOCK")</f>
        <v>IN-STOCK</v>
      </c>
      <c r="K413" s="22" t="n">
        <f aca="false">E413*G413</f>
        <v>1240.3</v>
      </c>
      <c r="L413" s="22" t="n">
        <f aca="false">F413*H413</f>
        <v>839.12</v>
      </c>
      <c r="M413" s="22" t="n">
        <f aca="false">L413-K413</f>
        <v>-401.18</v>
      </c>
    </row>
    <row r="414" customFormat="false" ht="15" hidden="false" customHeight="false" outlineLevel="0" collapsed="false">
      <c r="A414" s="21" t="s">
        <v>583</v>
      </c>
      <c r="B414" s="21" t="s">
        <v>308</v>
      </c>
      <c r="C414" s="21" t="s">
        <v>87</v>
      </c>
      <c r="D414" s="21" t="s">
        <v>80</v>
      </c>
      <c r="E414" s="22" t="n">
        <v>20.28</v>
      </c>
      <c r="F414" s="22" t="n">
        <v>27.56</v>
      </c>
      <c r="G414" s="23" t="n">
        <v>302</v>
      </c>
      <c r="H414" s="23" t="n">
        <v>145</v>
      </c>
      <c r="I414" s="23" t="n">
        <f aca="false">G414-H414</f>
        <v>157</v>
      </c>
      <c r="J414" s="21" t="str">
        <f aca="false">IF(I414&lt;50,"LOW-IN-STOCK","IN-STOCK")</f>
        <v>IN-STOCK</v>
      </c>
      <c r="K414" s="22" t="n">
        <f aca="false">E414*G414</f>
        <v>6124.56</v>
      </c>
      <c r="L414" s="22" t="n">
        <f aca="false">F414*H414</f>
        <v>3996.2</v>
      </c>
      <c r="M414" s="22" t="n">
        <f aca="false">L414-K414</f>
        <v>-2128.36</v>
      </c>
    </row>
    <row r="415" customFormat="false" ht="15" hidden="false" customHeight="false" outlineLevel="0" collapsed="false">
      <c r="A415" s="21" t="s">
        <v>584</v>
      </c>
      <c r="B415" s="21" t="s">
        <v>250</v>
      </c>
      <c r="C415" s="21" t="s">
        <v>79</v>
      </c>
      <c r="D415" s="21" t="s">
        <v>102</v>
      </c>
      <c r="E415" s="22" t="n">
        <v>19.25</v>
      </c>
      <c r="F415" s="22" t="n">
        <v>35.08</v>
      </c>
      <c r="G415" s="23" t="n">
        <v>161</v>
      </c>
      <c r="H415" s="23" t="n">
        <v>32</v>
      </c>
      <c r="I415" s="23" t="n">
        <f aca="false">G415-H415</f>
        <v>129</v>
      </c>
      <c r="J415" s="21" t="str">
        <f aca="false">IF(I415&lt;50,"LOW-IN-STOCK","IN-STOCK")</f>
        <v>IN-STOCK</v>
      </c>
      <c r="K415" s="22" t="n">
        <f aca="false">E415*G415</f>
        <v>3099.25</v>
      </c>
      <c r="L415" s="22" t="n">
        <f aca="false">F415*H415</f>
        <v>1122.56</v>
      </c>
      <c r="M415" s="22" t="n">
        <f aca="false">L415-K415</f>
        <v>-1976.69</v>
      </c>
    </row>
    <row r="416" customFormat="false" ht="15" hidden="false" customHeight="false" outlineLevel="0" collapsed="false">
      <c r="A416" s="21" t="s">
        <v>585</v>
      </c>
      <c r="B416" s="21" t="s">
        <v>122</v>
      </c>
      <c r="C416" s="21" t="s">
        <v>75</v>
      </c>
      <c r="D416" s="21" t="s">
        <v>102</v>
      </c>
      <c r="E416" s="22" t="n">
        <v>6.46</v>
      </c>
      <c r="F416" s="22" t="n">
        <v>9.45</v>
      </c>
      <c r="G416" s="23" t="n">
        <v>479</v>
      </c>
      <c r="H416" s="23" t="n">
        <v>285</v>
      </c>
      <c r="I416" s="23" t="n">
        <f aca="false">G416-H416</f>
        <v>194</v>
      </c>
      <c r="J416" s="21" t="str">
        <f aca="false">IF(I416&lt;50,"LOW-IN-STOCK","IN-STOCK")</f>
        <v>IN-STOCK</v>
      </c>
      <c r="K416" s="22" t="n">
        <f aca="false">E416*G416</f>
        <v>3094.34</v>
      </c>
      <c r="L416" s="22" t="n">
        <f aca="false">F416*H416</f>
        <v>2693.25</v>
      </c>
      <c r="M416" s="22" t="n">
        <f aca="false">L416-K416</f>
        <v>-401.09</v>
      </c>
    </row>
    <row r="417" customFormat="false" ht="15" hidden="false" customHeight="false" outlineLevel="0" collapsed="false">
      <c r="A417" s="21" t="s">
        <v>586</v>
      </c>
      <c r="B417" s="21" t="s">
        <v>262</v>
      </c>
      <c r="C417" s="21" t="s">
        <v>75</v>
      </c>
      <c r="D417" s="21" t="s">
        <v>99</v>
      </c>
      <c r="E417" s="22" t="n">
        <v>19.69</v>
      </c>
      <c r="F417" s="22" t="n">
        <v>27.45</v>
      </c>
      <c r="G417" s="23" t="n">
        <v>263</v>
      </c>
      <c r="H417" s="23" t="n">
        <v>164</v>
      </c>
      <c r="I417" s="23" t="n">
        <f aca="false">G417-H417</f>
        <v>99</v>
      </c>
      <c r="J417" s="21" t="str">
        <f aca="false">IF(I417&lt;50,"LOW-IN-STOCK","IN-STOCK")</f>
        <v>IN-STOCK</v>
      </c>
      <c r="K417" s="22" t="n">
        <f aca="false">E417*G417</f>
        <v>5178.47</v>
      </c>
      <c r="L417" s="22" t="n">
        <f aca="false">F417*H417</f>
        <v>4501.8</v>
      </c>
      <c r="M417" s="22" t="n">
        <f aca="false">L417-K417</f>
        <v>-676.67</v>
      </c>
    </row>
    <row r="418" customFormat="false" ht="15" hidden="false" customHeight="false" outlineLevel="0" collapsed="false">
      <c r="A418" s="21" t="s">
        <v>587</v>
      </c>
      <c r="B418" s="21" t="s">
        <v>145</v>
      </c>
      <c r="C418" s="21" t="s">
        <v>87</v>
      </c>
      <c r="D418" s="21" t="s">
        <v>137</v>
      </c>
      <c r="E418" s="22" t="n">
        <v>12.43</v>
      </c>
      <c r="F418" s="22" t="n">
        <v>24.87</v>
      </c>
      <c r="G418" s="23" t="n">
        <v>429</v>
      </c>
      <c r="H418" s="23" t="n">
        <v>322</v>
      </c>
      <c r="I418" s="23" t="n">
        <f aca="false">G418-H418</f>
        <v>107</v>
      </c>
      <c r="J418" s="21" t="str">
        <f aca="false">IF(I418&lt;50,"LOW-IN-STOCK","IN-STOCK")</f>
        <v>IN-STOCK</v>
      </c>
      <c r="K418" s="22" t="n">
        <f aca="false">E418*G418</f>
        <v>5332.47</v>
      </c>
      <c r="L418" s="22" t="n">
        <f aca="false">F418*H418</f>
        <v>8008.14</v>
      </c>
      <c r="M418" s="22" t="n">
        <f aca="false">L418-K418</f>
        <v>2675.67</v>
      </c>
    </row>
    <row r="419" customFormat="false" ht="15" hidden="false" customHeight="false" outlineLevel="0" collapsed="false">
      <c r="A419" s="21" t="s">
        <v>588</v>
      </c>
      <c r="B419" s="21" t="s">
        <v>184</v>
      </c>
      <c r="C419" s="21" t="s">
        <v>148</v>
      </c>
      <c r="D419" s="21" t="s">
        <v>84</v>
      </c>
      <c r="E419" s="22" t="n">
        <v>21.41</v>
      </c>
      <c r="F419" s="22" t="n">
        <v>46.97</v>
      </c>
      <c r="G419" s="23" t="n">
        <v>35</v>
      </c>
      <c r="H419" s="23" t="n">
        <v>14</v>
      </c>
      <c r="I419" s="23" t="n">
        <f aca="false">G419-H419</f>
        <v>21</v>
      </c>
      <c r="J419" s="21" t="str">
        <f aca="false">IF(I419&lt;50,"LOW-IN-STOCK","IN-STOCK")</f>
        <v>LOW-IN-STOCK</v>
      </c>
      <c r="K419" s="22" t="n">
        <f aca="false">E419*G419</f>
        <v>749.35</v>
      </c>
      <c r="L419" s="22" t="n">
        <f aca="false">F419*H419</f>
        <v>657.58</v>
      </c>
      <c r="M419" s="22" t="n">
        <f aca="false">L419-K419</f>
        <v>-91.7700000000001</v>
      </c>
    </row>
    <row r="420" customFormat="false" ht="15" hidden="false" customHeight="false" outlineLevel="0" collapsed="false">
      <c r="A420" s="21" t="s">
        <v>589</v>
      </c>
      <c r="B420" s="21" t="s">
        <v>118</v>
      </c>
      <c r="C420" s="21" t="s">
        <v>79</v>
      </c>
      <c r="D420" s="21" t="s">
        <v>88</v>
      </c>
      <c r="E420" s="22" t="n">
        <v>8.82</v>
      </c>
      <c r="F420" s="22" t="n">
        <v>14.42</v>
      </c>
      <c r="G420" s="23" t="n">
        <v>229</v>
      </c>
      <c r="H420" s="23" t="n">
        <v>111</v>
      </c>
      <c r="I420" s="23" t="n">
        <f aca="false">G420-H420</f>
        <v>118</v>
      </c>
      <c r="J420" s="21" t="str">
        <f aca="false">IF(I420&lt;50,"LOW-IN-STOCK","IN-STOCK")</f>
        <v>IN-STOCK</v>
      </c>
      <c r="K420" s="22" t="n">
        <f aca="false">E420*G420</f>
        <v>2019.78</v>
      </c>
      <c r="L420" s="22" t="n">
        <f aca="false">F420*H420</f>
        <v>1600.62</v>
      </c>
      <c r="M420" s="22" t="n">
        <f aca="false">L420-K420</f>
        <v>-419.16</v>
      </c>
    </row>
    <row r="421" customFormat="false" ht="15" hidden="false" customHeight="false" outlineLevel="0" collapsed="false">
      <c r="A421" s="21" t="s">
        <v>590</v>
      </c>
      <c r="B421" s="21" t="s">
        <v>116</v>
      </c>
      <c r="C421" s="21" t="s">
        <v>83</v>
      </c>
      <c r="D421" s="21" t="s">
        <v>99</v>
      </c>
      <c r="E421" s="22" t="n">
        <v>1.71</v>
      </c>
      <c r="F421" s="22" t="n">
        <v>2.48</v>
      </c>
      <c r="G421" s="23" t="n">
        <v>63</v>
      </c>
      <c r="H421" s="23" t="n">
        <v>27</v>
      </c>
      <c r="I421" s="23" t="n">
        <f aca="false">G421-H421</f>
        <v>36</v>
      </c>
      <c r="J421" s="21" t="str">
        <f aca="false">IF(I421&lt;50,"LOW-IN-STOCK","IN-STOCK")</f>
        <v>LOW-IN-STOCK</v>
      </c>
      <c r="K421" s="22" t="n">
        <f aca="false">E421*G421</f>
        <v>107.73</v>
      </c>
      <c r="L421" s="22" t="n">
        <f aca="false">F421*H421</f>
        <v>66.96</v>
      </c>
      <c r="M421" s="22" t="n">
        <f aca="false">L421-K421</f>
        <v>-40.77</v>
      </c>
    </row>
    <row r="422" customFormat="false" ht="15" hidden="false" customHeight="false" outlineLevel="0" collapsed="false">
      <c r="A422" s="21" t="s">
        <v>591</v>
      </c>
      <c r="B422" s="21" t="s">
        <v>262</v>
      </c>
      <c r="C422" s="21" t="s">
        <v>75</v>
      </c>
      <c r="D422" s="21" t="s">
        <v>88</v>
      </c>
      <c r="E422" s="22" t="n">
        <v>7.14</v>
      </c>
      <c r="F422" s="22" t="n">
        <v>11.65</v>
      </c>
      <c r="G422" s="23" t="n">
        <v>21</v>
      </c>
      <c r="H422" s="23" t="n">
        <v>10</v>
      </c>
      <c r="I422" s="23" t="n">
        <f aca="false">G422-H422</f>
        <v>11</v>
      </c>
      <c r="J422" s="21" t="str">
        <f aca="false">IF(I422&lt;50,"LOW-IN-STOCK","IN-STOCK")</f>
        <v>LOW-IN-STOCK</v>
      </c>
      <c r="K422" s="22" t="n">
        <f aca="false">E422*G422</f>
        <v>149.94</v>
      </c>
      <c r="L422" s="22" t="n">
        <f aca="false">F422*H422</f>
        <v>116.5</v>
      </c>
      <c r="M422" s="22" t="n">
        <f aca="false">L422-K422</f>
        <v>-33.44</v>
      </c>
    </row>
    <row r="423" customFormat="false" ht="15" hidden="false" customHeight="false" outlineLevel="0" collapsed="false">
      <c r="A423" s="21" t="s">
        <v>592</v>
      </c>
      <c r="B423" s="21" t="s">
        <v>383</v>
      </c>
      <c r="C423" s="21" t="s">
        <v>87</v>
      </c>
      <c r="D423" s="21" t="s">
        <v>137</v>
      </c>
      <c r="E423" s="22" t="n">
        <v>23.78</v>
      </c>
      <c r="F423" s="22" t="n">
        <v>33.12</v>
      </c>
      <c r="G423" s="23" t="n">
        <v>296</v>
      </c>
      <c r="H423" s="23" t="n">
        <v>277</v>
      </c>
      <c r="I423" s="23" t="n">
        <f aca="false">G423-H423</f>
        <v>19</v>
      </c>
      <c r="J423" s="21" t="str">
        <f aca="false">IF(I423&lt;50,"LOW-IN-STOCK","IN-STOCK")</f>
        <v>LOW-IN-STOCK</v>
      </c>
      <c r="K423" s="22" t="n">
        <f aca="false">E423*G423</f>
        <v>7038.88</v>
      </c>
      <c r="L423" s="22" t="n">
        <f aca="false">F423*H423</f>
        <v>9174.24</v>
      </c>
      <c r="M423" s="22" t="n">
        <f aca="false">L423-K423</f>
        <v>2135.36</v>
      </c>
    </row>
    <row r="424" customFormat="false" ht="15" hidden="false" customHeight="false" outlineLevel="0" collapsed="false">
      <c r="A424" s="21" t="s">
        <v>593</v>
      </c>
      <c r="B424" s="21" t="s">
        <v>179</v>
      </c>
      <c r="C424" s="21" t="s">
        <v>93</v>
      </c>
      <c r="D424" s="21" t="s">
        <v>76</v>
      </c>
      <c r="E424" s="22" t="n">
        <v>10.87</v>
      </c>
      <c r="F424" s="22" t="n">
        <v>17.88</v>
      </c>
      <c r="G424" s="23" t="n">
        <v>49</v>
      </c>
      <c r="H424" s="23" t="n">
        <v>33</v>
      </c>
      <c r="I424" s="23" t="n">
        <f aca="false">G424-H424</f>
        <v>16</v>
      </c>
      <c r="J424" s="21" t="str">
        <f aca="false">IF(I424&lt;50,"LOW-IN-STOCK","IN-STOCK")</f>
        <v>LOW-IN-STOCK</v>
      </c>
      <c r="K424" s="22" t="n">
        <f aca="false">E424*G424</f>
        <v>532.63</v>
      </c>
      <c r="L424" s="22" t="n">
        <f aca="false">F424*H424</f>
        <v>590.04</v>
      </c>
      <c r="M424" s="22" t="n">
        <f aca="false">L424-K424</f>
        <v>57.41</v>
      </c>
    </row>
    <row r="425" customFormat="false" ht="15" hidden="false" customHeight="false" outlineLevel="0" collapsed="false">
      <c r="A425" s="21" t="s">
        <v>594</v>
      </c>
      <c r="B425" s="21" t="s">
        <v>179</v>
      </c>
      <c r="C425" s="21" t="s">
        <v>93</v>
      </c>
      <c r="D425" s="21" t="s">
        <v>80</v>
      </c>
      <c r="E425" s="22" t="n">
        <v>3.12</v>
      </c>
      <c r="F425" s="22" t="n">
        <v>4.44</v>
      </c>
      <c r="G425" s="23" t="n">
        <v>76</v>
      </c>
      <c r="H425" s="23" t="n">
        <v>36</v>
      </c>
      <c r="I425" s="23" t="n">
        <f aca="false">G425-H425</f>
        <v>40</v>
      </c>
      <c r="J425" s="21" t="str">
        <f aca="false">IF(I425&lt;50,"LOW-IN-STOCK","IN-STOCK")</f>
        <v>LOW-IN-STOCK</v>
      </c>
      <c r="K425" s="22" t="n">
        <f aca="false">E425*G425</f>
        <v>237.12</v>
      </c>
      <c r="L425" s="22" t="n">
        <f aca="false">F425*H425</f>
        <v>159.84</v>
      </c>
      <c r="M425" s="22" t="n">
        <f aca="false">L425-K425</f>
        <v>-77.28</v>
      </c>
    </row>
    <row r="426" customFormat="false" ht="15" hidden="false" customHeight="false" outlineLevel="0" collapsed="false">
      <c r="A426" s="21" t="s">
        <v>595</v>
      </c>
      <c r="B426" s="21" t="s">
        <v>262</v>
      </c>
      <c r="C426" s="21" t="s">
        <v>75</v>
      </c>
      <c r="D426" s="21" t="s">
        <v>88</v>
      </c>
      <c r="E426" s="22" t="n">
        <v>8.13</v>
      </c>
      <c r="F426" s="22" t="n">
        <v>14.63</v>
      </c>
      <c r="G426" s="23" t="n">
        <v>202</v>
      </c>
      <c r="H426" s="23" t="n">
        <v>37</v>
      </c>
      <c r="I426" s="23" t="n">
        <f aca="false">G426-H426</f>
        <v>165</v>
      </c>
      <c r="J426" s="21" t="str">
        <f aca="false">IF(I426&lt;50,"LOW-IN-STOCK","IN-STOCK")</f>
        <v>IN-STOCK</v>
      </c>
      <c r="K426" s="22" t="n">
        <f aca="false">E426*G426</f>
        <v>1642.26</v>
      </c>
      <c r="L426" s="22" t="n">
        <f aca="false">F426*H426</f>
        <v>541.31</v>
      </c>
      <c r="M426" s="22" t="n">
        <f aca="false">L426-K426</f>
        <v>-1100.95</v>
      </c>
    </row>
    <row r="427" customFormat="false" ht="15" hidden="false" customHeight="false" outlineLevel="0" collapsed="false">
      <c r="A427" s="21" t="s">
        <v>596</v>
      </c>
      <c r="B427" s="21" t="s">
        <v>250</v>
      </c>
      <c r="C427" s="21" t="s">
        <v>79</v>
      </c>
      <c r="D427" s="21" t="s">
        <v>108</v>
      </c>
      <c r="E427" s="22" t="n">
        <v>16.02</v>
      </c>
      <c r="F427" s="22" t="n">
        <v>32.05</v>
      </c>
      <c r="G427" s="23" t="n">
        <v>88</v>
      </c>
      <c r="H427" s="23" t="n">
        <v>83</v>
      </c>
      <c r="I427" s="23" t="n">
        <f aca="false">G427-H427</f>
        <v>5</v>
      </c>
      <c r="J427" s="21" t="str">
        <f aca="false">IF(I427&lt;50,"LOW-IN-STOCK","IN-STOCK")</f>
        <v>LOW-IN-STOCK</v>
      </c>
      <c r="K427" s="22" t="n">
        <f aca="false">E427*G427</f>
        <v>1409.76</v>
      </c>
      <c r="L427" s="22" t="n">
        <f aca="false">F427*H427</f>
        <v>2660.15</v>
      </c>
      <c r="M427" s="22" t="n">
        <f aca="false">L427-K427</f>
        <v>1250.39</v>
      </c>
    </row>
    <row r="428" customFormat="false" ht="15" hidden="false" customHeight="false" outlineLevel="0" collapsed="false">
      <c r="A428" s="21" t="s">
        <v>597</v>
      </c>
      <c r="B428" s="21" t="s">
        <v>147</v>
      </c>
      <c r="C428" s="21" t="s">
        <v>148</v>
      </c>
      <c r="D428" s="21" t="s">
        <v>114</v>
      </c>
      <c r="E428" s="22" t="n">
        <v>73.82</v>
      </c>
      <c r="F428" s="22" t="n">
        <v>152.66</v>
      </c>
      <c r="G428" s="23" t="n">
        <v>48</v>
      </c>
      <c r="H428" s="23" t="n">
        <v>20</v>
      </c>
      <c r="I428" s="23" t="n">
        <f aca="false">G428-H428</f>
        <v>28</v>
      </c>
      <c r="J428" s="21" t="str">
        <f aca="false">IF(I428&lt;50,"LOW-IN-STOCK","IN-STOCK")</f>
        <v>LOW-IN-STOCK</v>
      </c>
      <c r="K428" s="22" t="n">
        <f aca="false">E428*G428</f>
        <v>3543.36</v>
      </c>
      <c r="L428" s="22" t="n">
        <f aca="false">F428*H428</f>
        <v>3053.2</v>
      </c>
      <c r="M428" s="22" t="n">
        <f aca="false">L428-K428</f>
        <v>-490.16</v>
      </c>
    </row>
    <row r="429" customFormat="false" ht="15" hidden="false" customHeight="false" outlineLevel="0" collapsed="false">
      <c r="A429" s="21" t="s">
        <v>598</v>
      </c>
      <c r="B429" s="21" t="s">
        <v>139</v>
      </c>
      <c r="C429" s="21" t="s">
        <v>75</v>
      </c>
      <c r="D429" s="21" t="s">
        <v>99</v>
      </c>
      <c r="E429" s="22" t="n">
        <v>6.12</v>
      </c>
      <c r="F429" s="22" t="n">
        <v>8.16</v>
      </c>
      <c r="G429" s="23" t="n">
        <v>471</v>
      </c>
      <c r="H429" s="23" t="n">
        <v>254</v>
      </c>
      <c r="I429" s="23" t="n">
        <f aca="false">G429-H429</f>
        <v>217</v>
      </c>
      <c r="J429" s="21" t="str">
        <f aca="false">IF(I429&lt;50,"LOW-IN-STOCK","IN-STOCK")</f>
        <v>IN-STOCK</v>
      </c>
      <c r="K429" s="22" t="n">
        <f aca="false">E429*G429</f>
        <v>2882.52</v>
      </c>
      <c r="L429" s="22" t="n">
        <f aca="false">F429*H429</f>
        <v>2072.64</v>
      </c>
      <c r="M429" s="22" t="n">
        <f aca="false">L429-K429</f>
        <v>-809.88</v>
      </c>
    </row>
    <row r="430" customFormat="false" ht="15" hidden="false" customHeight="false" outlineLevel="0" collapsed="false">
      <c r="A430" s="21" t="s">
        <v>599</v>
      </c>
      <c r="B430" s="21" t="s">
        <v>359</v>
      </c>
      <c r="C430" s="21" t="s">
        <v>75</v>
      </c>
      <c r="D430" s="21" t="s">
        <v>99</v>
      </c>
      <c r="E430" s="22" t="n">
        <v>14.15</v>
      </c>
      <c r="F430" s="22" t="n">
        <v>23.4</v>
      </c>
      <c r="G430" s="23" t="n">
        <v>302</v>
      </c>
      <c r="H430" s="23" t="n">
        <v>232</v>
      </c>
      <c r="I430" s="23" t="n">
        <f aca="false">G430-H430</f>
        <v>70</v>
      </c>
      <c r="J430" s="21" t="str">
        <f aca="false">IF(I430&lt;50,"LOW-IN-STOCK","IN-STOCK")</f>
        <v>IN-STOCK</v>
      </c>
      <c r="K430" s="22" t="n">
        <f aca="false">E430*G430</f>
        <v>4273.3</v>
      </c>
      <c r="L430" s="22" t="n">
        <f aca="false">F430*H430</f>
        <v>5428.8</v>
      </c>
      <c r="M430" s="22" t="n">
        <f aca="false">L430-K430</f>
        <v>1155.5</v>
      </c>
    </row>
    <row r="431" customFormat="false" ht="15" hidden="false" customHeight="false" outlineLevel="0" collapsed="false">
      <c r="A431" s="21" t="s">
        <v>600</v>
      </c>
      <c r="B431" s="21" t="s">
        <v>110</v>
      </c>
      <c r="C431" s="21" t="s">
        <v>93</v>
      </c>
      <c r="D431" s="21" t="s">
        <v>108</v>
      </c>
      <c r="E431" s="22" t="n">
        <v>7.78</v>
      </c>
      <c r="F431" s="22" t="n">
        <v>15.12</v>
      </c>
      <c r="G431" s="23" t="n">
        <v>365</v>
      </c>
      <c r="H431" s="23" t="n">
        <v>159</v>
      </c>
      <c r="I431" s="23" t="n">
        <f aca="false">G431-H431</f>
        <v>206</v>
      </c>
      <c r="J431" s="21" t="str">
        <f aca="false">IF(I431&lt;50,"LOW-IN-STOCK","IN-STOCK")</f>
        <v>IN-STOCK</v>
      </c>
      <c r="K431" s="22" t="n">
        <f aca="false">E431*G431</f>
        <v>2839.7</v>
      </c>
      <c r="L431" s="22" t="n">
        <f aca="false">F431*H431</f>
        <v>2404.08</v>
      </c>
      <c r="M431" s="22" t="n">
        <f aca="false">L431-K431</f>
        <v>-435.62</v>
      </c>
    </row>
    <row r="432" customFormat="false" ht="15" hidden="false" customHeight="false" outlineLevel="0" collapsed="false">
      <c r="A432" s="21" t="s">
        <v>601</v>
      </c>
      <c r="B432" s="21" t="s">
        <v>243</v>
      </c>
      <c r="C432" s="21" t="s">
        <v>113</v>
      </c>
      <c r="D432" s="21" t="s">
        <v>84</v>
      </c>
      <c r="E432" s="22" t="n">
        <v>17.15</v>
      </c>
      <c r="F432" s="22" t="n">
        <v>33.82</v>
      </c>
      <c r="G432" s="23" t="n">
        <v>459</v>
      </c>
      <c r="H432" s="23" t="n">
        <v>60</v>
      </c>
      <c r="I432" s="23" t="n">
        <f aca="false">G432-H432</f>
        <v>399</v>
      </c>
      <c r="J432" s="21" t="str">
        <f aca="false">IF(I432&lt;50,"LOW-IN-STOCK","IN-STOCK")</f>
        <v>IN-STOCK</v>
      </c>
      <c r="K432" s="22" t="n">
        <f aca="false">E432*G432</f>
        <v>7871.85</v>
      </c>
      <c r="L432" s="22" t="n">
        <f aca="false">F432*H432</f>
        <v>2029.2</v>
      </c>
      <c r="M432" s="22" t="n">
        <f aca="false">L432-K432</f>
        <v>-5842.65</v>
      </c>
    </row>
    <row r="433" customFormat="false" ht="15" hidden="false" customHeight="false" outlineLevel="0" collapsed="false">
      <c r="A433" s="21" t="s">
        <v>602</v>
      </c>
      <c r="B433" s="21" t="s">
        <v>186</v>
      </c>
      <c r="C433" s="21" t="s">
        <v>83</v>
      </c>
      <c r="D433" s="21" t="s">
        <v>84</v>
      </c>
      <c r="E433" s="22" t="n">
        <v>2.44</v>
      </c>
      <c r="F433" s="22" t="n">
        <v>4.78</v>
      </c>
      <c r="G433" s="23" t="n">
        <v>344</v>
      </c>
      <c r="H433" s="23" t="n">
        <v>128</v>
      </c>
      <c r="I433" s="23" t="n">
        <f aca="false">G433-H433</f>
        <v>216</v>
      </c>
      <c r="J433" s="21" t="str">
        <f aca="false">IF(I433&lt;50,"LOW-IN-STOCK","IN-STOCK")</f>
        <v>IN-STOCK</v>
      </c>
      <c r="K433" s="22" t="n">
        <f aca="false">E433*G433</f>
        <v>839.36</v>
      </c>
      <c r="L433" s="22" t="n">
        <f aca="false">F433*H433</f>
        <v>611.84</v>
      </c>
      <c r="M433" s="22" t="n">
        <f aca="false">L433-K433</f>
        <v>-227.52</v>
      </c>
    </row>
    <row r="434" customFormat="false" ht="15" hidden="false" customHeight="false" outlineLevel="0" collapsed="false">
      <c r="A434" s="21" t="s">
        <v>603</v>
      </c>
      <c r="B434" s="21" t="s">
        <v>157</v>
      </c>
      <c r="C434" s="21" t="s">
        <v>113</v>
      </c>
      <c r="D434" s="21" t="s">
        <v>160</v>
      </c>
      <c r="E434" s="22" t="n">
        <v>14.63</v>
      </c>
      <c r="F434" s="22" t="n">
        <v>22.44</v>
      </c>
      <c r="G434" s="23" t="n">
        <v>260</v>
      </c>
      <c r="H434" s="23" t="n">
        <v>30</v>
      </c>
      <c r="I434" s="23" t="n">
        <f aca="false">G434-H434</f>
        <v>230</v>
      </c>
      <c r="J434" s="21" t="str">
        <f aca="false">IF(I434&lt;50,"LOW-IN-STOCK","IN-STOCK")</f>
        <v>IN-STOCK</v>
      </c>
      <c r="K434" s="22" t="n">
        <f aca="false">E434*G434</f>
        <v>3803.8</v>
      </c>
      <c r="L434" s="22" t="n">
        <f aca="false">F434*H434</f>
        <v>673.2</v>
      </c>
      <c r="M434" s="22" t="n">
        <f aca="false">L434-K434</f>
        <v>-3130.6</v>
      </c>
    </row>
    <row r="435" customFormat="false" ht="15" hidden="false" customHeight="false" outlineLevel="0" collapsed="false">
      <c r="A435" s="21" t="s">
        <v>604</v>
      </c>
      <c r="B435" s="21" t="s">
        <v>239</v>
      </c>
      <c r="C435" s="21" t="s">
        <v>113</v>
      </c>
      <c r="D435" s="21" t="s">
        <v>84</v>
      </c>
      <c r="E435" s="22" t="n">
        <v>16.77</v>
      </c>
      <c r="F435" s="22" t="n">
        <v>28.37</v>
      </c>
      <c r="G435" s="23" t="n">
        <v>46</v>
      </c>
      <c r="H435" s="23" t="n">
        <v>9</v>
      </c>
      <c r="I435" s="23" t="n">
        <f aca="false">G435-H435</f>
        <v>37</v>
      </c>
      <c r="J435" s="21" t="str">
        <f aca="false">IF(I435&lt;50,"LOW-IN-STOCK","IN-STOCK")</f>
        <v>LOW-IN-STOCK</v>
      </c>
      <c r="K435" s="22" t="n">
        <f aca="false">E435*G435</f>
        <v>771.42</v>
      </c>
      <c r="L435" s="22" t="n">
        <f aca="false">F435*H435</f>
        <v>255.33</v>
      </c>
      <c r="M435" s="22" t="n">
        <f aca="false">L435-K435</f>
        <v>-516.09</v>
      </c>
    </row>
    <row r="436" customFormat="false" ht="15" hidden="false" customHeight="false" outlineLevel="0" collapsed="false">
      <c r="A436" s="21" t="s">
        <v>605</v>
      </c>
      <c r="B436" s="21" t="s">
        <v>139</v>
      </c>
      <c r="C436" s="21" t="s">
        <v>75</v>
      </c>
      <c r="D436" s="21" t="s">
        <v>88</v>
      </c>
      <c r="E436" s="22" t="n">
        <v>29.87</v>
      </c>
      <c r="F436" s="22" t="n">
        <v>48.45</v>
      </c>
      <c r="G436" s="23" t="n">
        <v>205</v>
      </c>
      <c r="H436" s="23" t="n">
        <v>137</v>
      </c>
      <c r="I436" s="23" t="n">
        <f aca="false">G436-H436</f>
        <v>68</v>
      </c>
      <c r="J436" s="21" t="str">
        <f aca="false">IF(I436&lt;50,"LOW-IN-STOCK","IN-STOCK")</f>
        <v>IN-STOCK</v>
      </c>
      <c r="K436" s="22" t="n">
        <f aca="false">E436*G436</f>
        <v>6123.35</v>
      </c>
      <c r="L436" s="22" t="n">
        <f aca="false">F436*H436</f>
        <v>6637.65</v>
      </c>
      <c r="M436" s="22" t="n">
        <f aca="false">L436-K436</f>
        <v>514.3</v>
      </c>
    </row>
    <row r="437" customFormat="false" ht="15" hidden="false" customHeight="false" outlineLevel="0" collapsed="false">
      <c r="A437" s="21" t="s">
        <v>606</v>
      </c>
      <c r="B437" s="21" t="s">
        <v>95</v>
      </c>
      <c r="C437" s="21" t="s">
        <v>75</v>
      </c>
      <c r="D437" s="21" t="s">
        <v>160</v>
      </c>
      <c r="E437" s="22" t="n">
        <v>8.7</v>
      </c>
      <c r="F437" s="22" t="n">
        <v>18.44</v>
      </c>
      <c r="G437" s="23" t="n">
        <v>120</v>
      </c>
      <c r="H437" s="23" t="n">
        <v>65</v>
      </c>
      <c r="I437" s="23" t="n">
        <f aca="false">G437-H437</f>
        <v>55</v>
      </c>
      <c r="J437" s="21" t="str">
        <f aca="false">IF(I437&lt;50,"LOW-IN-STOCK","IN-STOCK")</f>
        <v>IN-STOCK</v>
      </c>
      <c r="K437" s="22" t="n">
        <f aca="false">E437*G437</f>
        <v>1044</v>
      </c>
      <c r="L437" s="22" t="n">
        <f aca="false">F437*H437</f>
        <v>1198.6</v>
      </c>
      <c r="M437" s="22" t="n">
        <f aca="false">L437-K437</f>
        <v>154.6</v>
      </c>
    </row>
    <row r="438" customFormat="false" ht="15" hidden="false" customHeight="false" outlineLevel="0" collapsed="false">
      <c r="A438" s="21" t="s">
        <v>607</v>
      </c>
      <c r="B438" s="21" t="s">
        <v>86</v>
      </c>
      <c r="C438" s="21" t="s">
        <v>87</v>
      </c>
      <c r="D438" s="21" t="s">
        <v>76</v>
      </c>
      <c r="E438" s="22" t="n">
        <v>4.34</v>
      </c>
      <c r="F438" s="22" t="n">
        <v>9.01</v>
      </c>
      <c r="G438" s="23" t="n">
        <v>141</v>
      </c>
      <c r="H438" s="23" t="n">
        <v>105</v>
      </c>
      <c r="I438" s="23" t="n">
        <f aca="false">G438-H438</f>
        <v>36</v>
      </c>
      <c r="J438" s="21" t="str">
        <f aca="false">IF(I438&lt;50,"LOW-IN-STOCK","IN-STOCK")</f>
        <v>LOW-IN-STOCK</v>
      </c>
      <c r="K438" s="22" t="n">
        <f aca="false">E438*G438</f>
        <v>611.94</v>
      </c>
      <c r="L438" s="22" t="n">
        <f aca="false">F438*H438</f>
        <v>946.05</v>
      </c>
      <c r="M438" s="22" t="n">
        <f aca="false">L438-K438</f>
        <v>334.11</v>
      </c>
    </row>
    <row r="439" customFormat="false" ht="15" hidden="false" customHeight="false" outlineLevel="0" collapsed="false">
      <c r="A439" s="21" t="s">
        <v>608</v>
      </c>
      <c r="B439" s="21" t="s">
        <v>207</v>
      </c>
      <c r="C439" s="21" t="s">
        <v>93</v>
      </c>
      <c r="D439" s="21" t="s">
        <v>108</v>
      </c>
      <c r="E439" s="22" t="n">
        <v>4.36</v>
      </c>
      <c r="F439" s="22" t="n">
        <v>6.82</v>
      </c>
      <c r="G439" s="23" t="n">
        <v>339</v>
      </c>
      <c r="H439" s="23" t="n">
        <v>48</v>
      </c>
      <c r="I439" s="23" t="n">
        <f aca="false">G439-H439</f>
        <v>291</v>
      </c>
      <c r="J439" s="21" t="str">
        <f aca="false">IF(I439&lt;50,"LOW-IN-STOCK","IN-STOCK")</f>
        <v>IN-STOCK</v>
      </c>
      <c r="K439" s="22" t="n">
        <f aca="false">E439*G439</f>
        <v>1478.04</v>
      </c>
      <c r="L439" s="22" t="n">
        <f aca="false">F439*H439</f>
        <v>327.36</v>
      </c>
      <c r="M439" s="22" t="n">
        <f aca="false">L439-K439</f>
        <v>-1150.68</v>
      </c>
    </row>
    <row r="440" customFormat="false" ht="15" hidden="false" customHeight="false" outlineLevel="0" collapsed="false">
      <c r="A440" s="21" t="s">
        <v>609</v>
      </c>
      <c r="B440" s="21" t="s">
        <v>78</v>
      </c>
      <c r="C440" s="21" t="s">
        <v>79</v>
      </c>
      <c r="D440" s="21" t="s">
        <v>80</v>
      </c>
      <c r="E440" s="22" t="n">
        <v>17.32</v>
      </c>
      <c r="F440" s="22" t="n">
        <v>27.31</v>
      </c>
      <c r="G440" s="23" t="n">
        <v>254</v>
      </c>
      <c r="H440" s="23" t="n">
        <v>181</v>
      </c>
      <c r="I440" s="23" t="n">
        <f aca="false">G440-H440</f>
        <v>73</v>
      </c>
      <c r="J440" s="21" t="str">
        <f aca="false">IF(I440&lt;50,"LOW-IN-STOCK","IN-STOCK")</f>
        <v>IN-STOCK</v>
      </c>
      <c r="K440" s="22" t="n">
        <f aca="false">E440*G440</f>
        <v>4399.28</v>
      </c>
      <c r="L440" s="22" t="n">
        <f aca="false">F440*H440</f>
        <v>4943.11</v>
      </c>
      <c r="M440" s="22" t="n">
        <f aca="false">L440-K440</f>
        <v>543.83</v>
      </c>
    </row>
    <row r="441" customFormat="false" ht="15" hidden="false" customHeight="false" outlineLevel="0" collapsed="false">
      <c r="A441" s="21" t="s">
        <v>610</v>
      </c>
      <c r="B441" s="21" t="s">
        <v>106</v>
      </c>
      <c r="C441" s="21" t="s">
        <v>107</v>
      </c>
      <c r="D441" s="21" t="s">
        <v>160</v>
      </c>
      <c r="E441" s="22" t="n">
        <v>2.43</v>
      </c>
      <c r="F441" s="22" t="n">
        <v>3.35</v>
      </c>
      <c r="G441" s="23" t="n">
        <v>109</v>
      </c>
      <c r="H441" s="23" t="n">
        <v>80</v>
      </c>
      <c r="I441" s="23" t="n">
        <f aca="false">G441-H441</f>
        <v>29</v>
      </c>
      <c r="J441" s="21" t="str">
        <f aca="false">IF(I441&lt;50,"LOW-IN-STOCK","IN-STOCK")</f>
        <v>LOW-IN-STOCK</v>
      </c>
      <c r="K441" s="22" t="n">
        <f aca="false">E441*G441</f>
        <v>264.87</v>
      </c>
      <c r="L441" s="22" t="n">
        <f aca="false">F441*H441</f>
        <v>268</v>
      </c>
      <c r="M441" s="22" t="n">
        <f aca="false">L441-K441</f>
        <v>3.13</v>
      </c>
    </row>
    <row r="442" customFormat="false" ht="15" hidden="false" customHeight="false" outlineLevel="0" collapsed="false">
      <c r="A442" s="21" t="s">
        <v>611</v>
      </c>
      <c r="B442" s="21" t="s">
        <v>143</v>
      </c>
      <c r="C442" s="21" t="s">
        <v>107</v>
      </c>
      <c r="D442" s="21" t="s">
        <v>88</v>
      </c>
      <c r="E442" s="22" t="n">
        <v>7.83</v>
      </c>
      <c r="F442" s="22" t="n">
        <v>11.87</v>
      </c>
      <c r="G442" s="23" t="n">
        <v>137</v>
      </c>
      <c r="H442" s="23" t="n">
        <v>65</v>
      </c>
      <c r="I442" s="23" t="n">
        <f aca="false">G442-H442</f>
        <v>72</v>
      </c>
      <c r="J442" s="21" t="str">
        <f aca="false">IF(I442&lt;50,"LOW-IN-STOCK","IN-STOCK")</f>
        <v>IN-STOCK</v>
      </c>
      <c r="K442" s="22" t="n">
        <f aca="false">E442*G442</f>
        <v>1072.71</v>
      </c>
      <c r="L442" s="22" t="n">
        <f aca="false">F442*H442</f>
        <v>771.55</v>
      </c>
      <c r="M442" s="22" t="n">
        <f aca="false">L442-K442</f>
        <v>-301.16</v>
      </c>
    </row>
    <row r="443" customFormat="false" ht="15" hidden="false" customHeight="false" outlineLevel="0" collapsed="false">
      <c r="A443" s="21" t="s">
        <v>612</v>
      </c>
      <c r="B443" s="21" t="s">
        <v>82</v>
      </c>
      <c r="C443" s="21" t="s">
        <v>83</v>
      </c>
      <c r="D443" s="21" t="s">
        <v>80</v>
      </c>
      <c r="E443" s="22" t="n">
        <v>14.58</v>
      </c>
      <c r="F443" s="22" t="n">
        <v>25.11</v>
      </c>
      <c r="G443" s="23" t="n">
        <v>419</v>
      </c>
      <c r="H443" s="23" t="n">
        <v>58</v>
      </c>
      <c r="I443" s="23" t="n">
        <f aca="false">G443-H443</f>
        <v>361</v>
      </c>
      <c r="J443" s="21" t="str">
        <f aca="false">IF(I443&lt;50,"LOW-IN-STOCK","IN-STOCK")</f>
        <v>IN-STOCK</v>
      </c>
      <c r="K443" s="22" t="n">
        <f aca="false">E443*G443</f>
        <v>6109.02</v>
      </c>
      <c r="L443" s="22" t="n">
        <f aca="false">F443*H443</f>
        <v>1456.38</v>
      </c>
      <c r="M443" s="22" t="n">
        <f aca="false">L443-K443</f>
        <v>-4652.64</v>
      </c>
    </row>
    <row r="444" customFormat="false" ht="15" hidden="false" customHeight="false" outlineLevel="0" collapsed="false">
      <c r="A444" s="21" t="s">
        <v>613</v>
      </c>
      <c r="B444" s="21" t="s">
        <v>162</v>
      </c>
      <c r="C444" s="21" t="s">
        <v>113</v>
      </c>
      <c r="D444" s="21" t="s">
        <v>84</v>
      </c>
      <c r="E444" s="22" t="n">
        <v>31.33</v>
      </c>
      <c r="F444" s="22" t="n">
        <v>56.12</v>
      </c>
      <c r="G444" s="23" t="n">
        <v>264</v>
      </c>
      <c r="H444" s="23" t="n">
        <v>45</v>
      </c>
      <c r="I444" s="23" t="n">
        <f aca="false">G444-H444</f>
        <v>219</v>
      </c>
      <c r="J444" s="21" t="str">
        <f aca="false">IF(I444&lt;50,"LOW-IN-STOCK","IN-STOCK")</f>
        <v>IN-STOCK</v>
      </c>
      <c r="K444" s="22" t="n">
        <f aca="false">E444*G444</f>
        <v>8271.12</v>
      </c>
      <c r="L444" s="22" t="n">
        <f aca="false">F444*H444</f>
        <v>2525.4</v>
      </c>
      <c r="M444" s="22" t="n">
        <f aca="false">L444-K444</f>
        <v>-5745.72</v>
      </c>
    </row>
    <row r="445" customFormat="false" ht="15" hidden="false" customHeight="false" outlineLevel="0" collapsed="false">
      <c r="A445" s="21" t="s">
        <v>614</v>
      </c>
      <c r="B445" s="21" t="s">
        <v>150</v>
      </c>
      <c r="C445" s="21" t="s">
        <v>148</v>
      </c>
      <c r="D445" s="21" t="s">
        <v>160</v>
      </c>
      <c r="E445" s="22" t="n">
        <v>28.47</v>
      </c>
      <c r="F445" s="22" t="n">
        <v>52.56</v>
      </c>
      <c r="G445" s="23" t="n">
        <v>30</v>
      </c>
      <c r="H445" s="23" t="n">
        <v>17</v>
      </c>
      <c r="I445" s="23" t="n">
        <f aca="false">G445-H445</f>
        <v>13</v>
      </c>
      <c r="J445" s="21" t="str">
        <f aca="false">IF(I445&lt;50,"LOW-IN-STOCK","IN-STOCK")</f>
        <v>LOW-IN-STOCK</v>
      </c>
      <c r="K445" s="22" t="n">
        <f aca="false">E445*G445</f>
        <v>854.1</v>
      </c>
      <c r="L445" s="22" t="n">
        <f aca="false">F445*H445</f>
        <v>893.52</v>
      </c>
      <c r="M445" s="22" t="n">
        <f aca="false">L445-K445</f>
        <v>39.4200000000001</v>
      </c>
    </row>
    <row r="446" customFormat="false" ht="15" hidden="false" customHeight="false" outlineLevel="0" collapsed="false">
      <c r="A446" s="21" t="s">
        <v>615</v>
      </c>
      <c r="B446" s="21" t="s">
        <v>170</v>
      </c>
      <c r="C446" s="21" t="s">
        <v>87</v>
      </c>
      <c r="D446" s="21" t="s">
        <v>108</v>
      </c>
      <c r="E446" s="22" t="n">
        <v>24.82</v>
      </c>
      <c r="F446" s="22" t="n">
        <v>49.11</v>
      </c>
      <c r="G446" s="23" t="n">
        <v>91</v>
      </c>
      <c r="H446" s="23" t="n">
        <v>80</v>
      </c>
      <c r="I446" s="23" t="n">
        <f aca="false">G446-H446</f>
        <v>11</v>
      </c>
      <c r="J446" s="21" t="str">
        <f aca="false">IF(I446&lt;50,"LOW-IN-STOCK","IN-STOCK")</f>
        <v>LOW-IN-STOCK</v>
      </c>
      <c r="K446" s="22" t="n">
        <f aca="false">E446*G446</f>
        <v>2258.62</v>
      </c>
      <c r="L446" s="22" t="n">
        <f aca="false">F446*H446</f>
        <v>3928.8</v>
      </c>
      <c r="M446" s="22" t="n">
        <f aca="false">L446-K446</f>
        <v>1670.18</v>
      </c>
    </row>
    <row r="447" customFormat="false" ht="15" hidden="false" customHeight="false" outlineLevel="0" collapsed="false">
      <c r="A447" s="21" t="s">
        <v>616</v>
      </c>
      <c r="B447" s="21" t="s">
        <v>78</v>
      </c>
      <c r="C447" s="21" t="s">
        <v>79</v>
      </c>
      <c r="D447" s="21" t="s">
        <v>80</v>
      </c>
      <c r="E447" s="22" t="n">
        <v>12.43</v>
      </c>
      <c r="F447" s="22" t="n">
        <v>27.02</v>
      </c>
      <c r="G447" s="23" t="n">
        <v>308</v>
      </c>
      <c r="H447" s="23" t="n">
        <v>266</v>
      </c>
      <c r="I447" s="23" t="n">
        <f aca="false">G447-H447</f>
        <v>42</v>
      </c>
      <c r="J447" s="21" t="str">
        <f aca="false">IF(I447&lt;50,"LOW-IN-STOCK","IN-STOCK")</f>
        <v>LOW-IN-STOCK</v>
      </c>
      <c r="K447" s="22" t="n">
        <f aca="false">E447*G447</f>
        <v>3828.44</v>
      </c>
      <c r="L447" s="22" t="n">
        <f aca="false">F447*H447</f>
        <v>7187.32</v>
      </c>
      <c r="M447" s="22" t="n">
        <f aca="false">L447-K447</f>
        <v>3358.88</v>
      </c>
    </row>
    <row r="448" customFormat="false" ht="15" hidden="false" customHeight="false" outlineLevel="0" collapsed="false">
      <c r="A448" s="21" t="s">
        <v>617</v>
      </c>
      <c r="B448" s="21" t="s">
        <v>250</v>
      </c>
      <c r="C448" s="21" t="s">
        <v>79</v>
      </c>
      <c r="D448" s="21" t="s">
        <v>108</v>
      </c>
      <c r="E448" s="22" t="n">
        <v>11.83</v>
      </c>
      <c r="F448" s="22" t="n">
        <v>19.12</v>
      </c>
      <c r="G448" s="23" t="n">
        <v>498</v>
      </c>
      <c r="H448" s="23" t="n">
        <v>96</v>
      </c>
      <c r="I448" s="23" t="n">
        <f aca="false">G448-H448</f>
        <v>402</v>
      </c>
      <c r="J448" s="21" t="str">
        <f aca="false">IF(I448&lt;50,"LOW-IN-STOCK","IN-STOCK")</f>
        <v>IN-STOCK</v>
      </c>
      <c r="K448" s="22" t="n">
        <f aca="false">E448*G448</f>
        <v>5891.34</v>
      </c>
      <c r="L448" s="22" t="n">
        <f aca="false">F448*H448</f>
        <v>1835.52</v>
      </c>
      <c r="M448" s="22" t="n">
        <f aca="false">L448-K448</f>
        <v>-4055.82</v>
      </c>
    </row>
    <row r="449" customFormat="false" ht="15" hidden="false" customHeight="false" outlineLevel="0" collapsed="false">
      <c r="A449" s="21" t="s">
        <v>618</v>
      </c>
      <c r="B449" s="21" t="s">
        <v>74</v>
      </c>
      <c r="C449" s="21" t="s">
        <v>75</v>
      </c>
      <c r="D449" s="21" t="s">
        <v>102</v>
      </c>
      <c r="E449" s="22" t="n">
        <v>17.72</v>
      </c>
      <c r="F449" s="22" t="n">
        <v>33.29</v>
      </c>
      <c r="G449" s="23" t="n">
        <v>450</v>
      </c>
      <c r="H449" s="23" t="n">
        <v>231</v>
      </c>
      <c r="I449" s="23" t="n">
        <f aca="false">G449-H449</f>
        <v>219</v>
      </c>
      <c r="J449" s="21" t="str">
        <f aca="false">IF(I449&lt;50,"LOW-IN-STOCK","IN-STOCK")</f>
        <v>IN-STOCK</v>
      </c>
      <c r="K449" s="22" t="n">
        <f aca="false">E449*G449</f>
        <v>7974</v>
      </c>
      <c r="L449" s="22" t="n">
        <f aca="false">F449*H449</f>
        <v>7689.99</v>
      </c>
      <c r="M449" s="22" t="n">
        <f aca="false">L449-K449</f>
        <v>-284.009999999999</v>
      </c>
    </row>
    <row r="450" customFormat="false" ht="15" hidden="false" customHeight="false" outlineLevel="0" collapsed="false">
      <c r="A450" s="21" t="s">
        <v>619</v>
      </c>
      <c r="B450" s="21" t="s">
        <v>74</v>
      </c>
      <c r="C450" s="21" t="s">
        <v>75</v>
      </c>
      <c r="D450" s="21" t="s">
        <v>84</v>
      </c>
      <c r="E450" s="22" t="n">
        <v>19.86</v>
      </c>
      <c r="F450" s="22" t="n">
        <v>27.54</v>
      </c>
      <c r="G450" s="23" t="n">
        <v>450</v>
      </c>
      <c r="H450" s="23" t="n">
        <v>248</v>
      </c>
      <c r="I450" s="23" t="n">
        <f aca="false">G450-H450</f>
        <v>202</v>
      </c>
      <c r="J450" s="21" t="str">
        <f aca="false">IF(I450&lt;50,"LOW-IN-STOCK","IN-STOCK")</f>
        <v>IN-STOCK</v>
      </c>
      <c r="K450" s="22" t="n">
        <f aca="false">E450*G450</f>
        <v>8937</v>
      </c>
      <c r="L450" s="22" t="n">
        <f aca="false">F450*H450</f>
        <v>6829.92</v>
      </c>
      <c r="M450" s="22" t="n">
        <f aca="false">L450-K450</f>
        <v>-2107.08</v>
      </c>
    </row>
    <row r="451" customFormat="false" ht="15" hidden="false" customHeight="false" outlineLevel="0" collapsed="false">
      <c r="A451" s="21" t="s">
        <v>620</v>
      </c>
      <c r="B451" s="21" t="s">
        <v>143</v>
      </c>
      <c r="C451" s="21" t="s">
        <v>107</v>
      </c>
      <c r="D451" s="21" t="s">
        <v>108</v>
      </c>
      <c r="E451" s="22" t="n">
        <v>14.47</v>
      </c>
      <c r="F451" s="22" t="n">
        <v>27.07</v>
      </c>
      <c r="G451" s="23" t="n">
        <v>397</v>
      </c>
      <c r="H451" s="23" t="n">
        <v>162</v>
      </c>
      <c r="I451" s="23" t="n">
        <f aca="false">G451-H451</f>
        <v>235</v>
      </c>
      <c r="J451" s="21" t="str">
        <f aca="false">IF(I451&lt;50,"LOW-IN-STOCK","IN-STOCK")</f>
        <v>IN-STOCK</v>
      </c>
      <c r="K451" s="22" t="n">
        <f aca="false">E451*G451</f>
        <v>5744.59</v>
      </c>
      <c r="L451" s="22" t="n">
        <f aca="false">F451*H451</f>
        <v>4385.34</v>
      </c>
      <c r="M451" s="22" t="n">
        <f aca="false">L451-K451</f>
        <v>-1359.25</v>
      </c>
    </row>
    <row r="452" customFormat="false" ht="15" hidden="false" customHeight="false" outlineLevel="0" collapsed="false">
      <c r="A452" s="21" t="s">
        <v>621</v>
      </c>
      <c r="B452" s="21" t="s">
        <v>447</v>
      </c>
      <c r="C452" s="21" t="s">
        <v>148</v>
      </c>
      <c r="D452" s="21" t="s">
        <v>160</v>
      </c>
      <c r="E452" s="22" t="n">
        <v>8.52</v>
      </c>
      <c r="F452" s="22" t="n">
        <v>13.6</v>
      </c>
      <c r="G452" s="23" t="n">
        <v>390</v>
      </c>
      <c r="H452" s="23" t="n">
        <v>236</v>
      </c>
      <c r="I452" s="23" t="n">
        <f aca="false">G452-H452</f>
        <v>154</v>
      </c>
      <c r="J452" s="21" t="str">
        <f aca="false">IF(I452&lt;50,"LOW-IN-STOCK","IN-STOCK")</f>
        <v>IN-STOCK</v>
      </c>
      <c r="K452" s="22" t="n">
        <f aca="false">E452*G452</f>
        <v>3322.8</v>
      </c>
      <c r="L452" s="22" t="n">
        <f aca="false">F452*H452</f>
        <v>3209.6</v>
      </c>
      <c r="M452" s="22" t="n">
        <f aca="false">L452-K452</f>
        <v>-113.2</v>
      </c>
    </row>
    <row r="453" customFormat="false" ht="15" hidden="false" customHeight="false" outlineLevel="0" collapsed="false">
      <c r="A453" s="21" t="s">
        <v>622</v>
      </c>
      <c r="B453" s="21" t="s">
        <v>78</v>
      </c>
      <c r="C453" s="21" t="s">
        <v>79</v>
      </c>
      <c r="D453" s="21" t="s">
        <v>102</v>
      </c>
      <c r="E453" s="22" t="n">
        <v>14.22</v>
      </c>
      <c r="F453" s="22" t="n">
        <v>20.98</v>
      </c>
      <c r="G453" s="23" t="n">
        <v>383</v>
      </c>
      <c r="H453" s="23" t="n">
        <v>41</v>
      </c>
      <c r="I453" s="23" t="n">
        <f aca="false">G453-H453</f>
        <v>342</v>
      </c>
      <c r="J453" s="21" t="str">
        <f aca="false">IF(I453&lt;50,"LOW-IN-STOCK","IN-STOCK")</f>
        <v>IN-STOCK</v>
      </c>
      <c r="K453" s="22" t="n">
        <f aca="false">E453*G453</f>
        <v>5446.26</v>
      </c>
      <c r="L453" s="22" t="n">
        <f aca="false">F453*H453</f>
        <v>860.18</v>
      </c>
      <c r="M453" s="22" t="n">
        <f aca="false">L453-K453</f>
        <v>-4586.08</v>
      </c>
    </row>
    <row r="454" customFormat="false" ht="15" hidden="false" customHeight="false" outlineLevel="0" collapsed="false">
      <c r="A454" s="21" t="s">
        <v>623</v>
      </c>
      <c r="B454" s="21" t="s">
        <v>209</v>
      </c>
      <c r="C454" s="21" t="s">
        <v>107</v>
      </c>
      <c r="D454" s="21" t="s">
        <v>84</v>
      </c>
      <c r="E454" s="22" t="n">
        <v>2.84</v>
      </c>
      <c r="F454" s="22" t="n">
        <v>4.43</v>
      </c>
      <c r="G454" s="23" t="n">
        <v>350</v>
      </c>
      <c r="H454" s="23" t="n">
        <v>50</v>
      </c>
      <c r="I454" s="23" t="n">
        <f aca="false">G454-H454</f>
        <v>300</v>
      </c>
      <c r="J454" s="21" t="str">
        <f aca="false">IF(I454&lt;50,"LOW-IN-STOCK","IN-STOCK")</f>
        <v>IN-STOCK</v>
      </c>
      <c r="K454" s="22" t="n">
        <f aca="false">E454*G454</f>
        <v>994</v>
      </c>
      <c r="L454" s="22" t="n">
        <f aca="false">F454*H454</f>
        <v>221.5</v>
      </c>
      <c r="M454" s="22" t="n">
        <f aca="false">L454-K454</f>
        <v>-772.5</v>
      </c>
    </row>
    <row r="455" customFormat="false" ht="15" hidden="false" customHeight="false" outlineLevel="0" collapsed="false">
      <c r="A455" s="21" t="s">
        <v>624</v>
      </c>
      <c r="B455" s="21" t="s">
        <v>150</v>
      </c>
      <c r="C455" s="21" t="s">
        <v>148</v>
      </c>
      <c r="D455" s="21" t="s">
        <v>99</v>
      </c>
      <c r="E455" s="22" t="n">
        <v>29.31</v>
      </c>
      <c r="F455" s="22" t="n">
        <v>41.41</v>
      </c>
      <c r="G455" s="23" t="n">
        <v>484</v>
      </c>
      <c r="H455" s="23" t="n">
        <v>108</v>
      </c>
      <c r="I455" s="23" t="n">
        <f aca="false">G455-H455</f>
        <v>376</v>
      </c>
      <c r="J455" s="21" t="str">
        <f aca="false">IF(I455&lt;50,"LOW-IN-STOCK","IN-STOCK")</f>
        <v>IN-STOCK</v>
      </c>
      <c r="K455" s="22" t="n">
        <f aca="false">E455*G455</f>
        <v>14186.04</v>
      </c>
      <c r="L455" s="22" t="n">
        <f aca="false">F455*H455</f>
        <v>4472.28</v>
      </c>
      <c r="M455" s="22" t="n">
        <f aca="false">L455-K455</f>
        <v>-9713.76</v>
      </c>
    </row>
    <row r="456" customFormat="false" ht="15" hidden="false" customHeight="false" outlineLevel="0" collapsed="false">
      <c r="A456" s="21" t="s">
        <v>625</v>
      </c>
      <c r="B456" s="21" t="s">
        <v>289</v>
      </c>
      <c r="C456" s="21" t="s">
        <v>148</v>
      </c>
      <c r="D456" s="21" t="s">
        <v>160</v>
      </c>
      <c r="E456" s="22" t="n">
        <v>16.47</v>
      </c>
      <c r="F456" s="22" t="n">
        <v>27.56</v>
      </c>
      <c r="G456" s="23" t="n">
        <v>459</v>
      </c>
      <c r="H456" s="23" t="n">
        <v>358</v>
      </c>
      <c r="I456" s="23" t="n">
        <f aca="false">G456-H456</f>
        <v>101</v>
      </c>
      <c r="J456" s="21" t="str">
        <f aca="false">IF(I456&lt;50,"LOW-IN-STOCK","IN-STOCK")</f>
        <v>IN-STOCK</v>
      </c>
      <c r="K456" s="22" t="n">
        <f aca="false">E456*G456</f>
        <v>7559.73</v>
      </c>
      <c r="L456" s="22" t="n">
        <f aca="false">F456*H456</f>
        <v>9866.48</v>
      </c>
      <c r="M456" s="22" t="n">
        <f aca="false">L456-K456</f>
        <v>2306.75</v>
      </c>
    </row>
    <row r="457" customFormat="false" ht="15" hidden="false" customHeight="false" outlineLevel="0" collapsed="false">
      <c r="A457" s="21" t="s">
        <v>626</v>
      </c>
      <c r="B457" s="21" t="s">
        <v>101</v>
      </c>
      <c r="C457" s="21" t="s">
        <v>83</v>
      </c>
      <c r="D457" s="21" t="s">
        <v>108</v>
      </c>
      <c r="E457" s="22" t="n">
        <v>18.86</v>
      </c>
      <c r="F457" s="22" t="n">
        <v>26.08</v>
      </c>
      <c r="G457" s="23" t="n">
        <v>169</v>
      </c>
      <c r="H457" s="23" t="n">
        <v>96</v>
      </c>
      <c r="I457" s="23" t="n">
        <f aca="false">G457-H457</f>
        <v>73</v>
      </c>
      <c r="J457" s="21" t="str">
        <f aca="false">IF(I457&lt;50,"LOW-IN-STOCK","IN-STOCK")</f>
        <v>IN-STOCK</v>
      </c>
      <c r="K457" s="22" t="n">
        <f aca="false">E457*G457</f>
        <v>3187.34</v>
      </c>
      <c r="L457" s="22" t="n">
        <f aca="false">F457*H457</f>
        <v>2503.68</v>
      </c>
      <c r="M457" s="22" t="n">
        <f aca="false">L457-K457</f>
        <v>-683.66</v>
      </c>
    </row>
    <row r="458" customFormat="false" ht="15" hidden="false" customHeight="false" outlineLevel="0" collapsed="false">
      <c r="A458" s="21" t="s">
        <v>627</v>
      </c>
      <c r="B458" s="21" t="s">
        <v>282</v>
      </c>
      <c r="C458" s="21" t="s">
        <v>79</v>
      </c>
      <c r="D458" s="21" t="s">
        <v>102</v>
      </c>
      <c r="E458" s="22" t="n">
        <v>18.49</v>
      </c>
      <c r="F458" s="22" t="n">
        <v>35.29</v>
      </c>
      <c r="G458" s="23" t="n">
        <v>494</v>
      </c>
      <c r="H458" s="23" t="n">
        <v>349</v>
      </c>
      <c r="I458" s="23" t="n">
        <f aca="false">G458-H458</f>
        <v>145</v>
      </c>
      <c r="J458" s="21" t="str">
        <f aca="false">IF(I458&lt;50,"LOW-IN-STOCK","IN-STOCK")</f>
        <v>IN-STOCK</v>
      </c>
      <c r="K458" s="22" t="n">
        <f aca="false">E458*G458</f>
        <v>9134.06</v>
      </c>
      <c r="L458" s="22" t="n">
        <f aca="false">F458*H458</f>
        <v>12316.21</v>
      </c>
      <c r="M458" s="22" t="n">
        <f aca="false">L458-K458</f>
        <v>3182.15</v>
      </c>
    </row>
    <row r="459" customFormat="false" ht="15" hidden="false" customHeight="false" outlineLevel="0" collapsed="false">
      <c r="A459" s="21" t="s">
        <v>628</v>
      </c>
      <c r="B459" s="21" t="s">
        <v>150</v>
      </c>
      <c r="C459" s="21" t="s">
        <v>148</v>
      </c>
      <c r="D459" s="21" t="s">
        <v>108</v>
      </c>
      <c r="E459" s="22" t="n">
        <v>46.68</v>
      </c>
      <c r="F459" s="22" t="n">
        <v>100.02</v>
      </c>
      <c r="G459" s="23" t="n">
        <v>252</v>
      </c>
      <c r="H459" s="23" t="n">
        <v>217</v>
      </c>
      <c r="I459" s="23" t="n">
        <f aca="false">G459-H459</f>
        <v>35</v>
      </c>
      <c r="J459" s="21" t="str">
        <f aca="false">IF(I459&lt;50,"LOW-IN-STOCK","IN-STOCK")</f>
        <v>LOW-IN-STOCK</v>
      </c>
      <c r="K459" s="22" t="n">
        <f aca="false">E459*G459</f>
        <v>11763.36</v>
      </c>
      <c r="L459" s="22" t="n">
        <f aca="false">F459*H459</f>
        <v>21704.34</v>
      </c>
      <c r="M459" s="22" t="n">
        <f aca="false">L459-K459</f>
        <v>9940.98</v>
      </c>
    </row>
    <row r="460" customFormat="false" ht="15" hidden="false" customHeight="false" outlineLevel="0" collapsed="false">
      <c r="A460" s="21" t="s">
        <v>629</v>
      </c>
      <c r="B460" s="21" t="s">
        <v>157</v>
      </c>
      <c r="C460" s="21" t="s">
        <v>113</v>
      </c>
      <c r="D460" s="21" t="s">
        <v>88</v>
      </c>
      <c r="E460" s="22" t="n">
        <v>13.57</v>
      </c>
      <c r="F460" s="22" t="n">
        <v>28.26</v>
      </c>
      <c r="G460" s="23" t="n">
        <v>391</v>
      </c>
      <c r="H460" s="23" t="n">
        <v>183</v>
      </c>
      <c r="I460" s="23" t="n">
        <f aca="false">G460-H460</f>
        <v>208</v>
      </c>
      <c r="J460" s="21" t="str">
        <f aca="false">IF(I460&lt;50,"LOW-IN-STOCK","IN-STOCK")</f>
        <v>IN-STOCK</v>
      </c>
      <c r="K460" s="22" t="n">
        <f aca="false">E460*G460</f>
        <v>5305.87</v>
      </c>
      <c r="L460" s="22" t="n">
        <f aca="false">F460*H460</f>
        <v>5171.58</v>
      </c>
      <c r="M460" s="22" t="n">
        <f aca="false">L460-K460</f>
        <v>-134.29</v>
      </c>
    </row>
    <row r="461" customFormat="false" ht="15" hidden="false" customHeight="false" outlineLevel="0" collapsed="false">
      <c r="A461" s="21" t="s">
        <v>630</v>
      </c>
      <c r="B461" s="21" t="s">
        <v>166</v>
      </c>
      <c r="C461" s="21" t="s">
        <v>93</v>
      </c>
      <c r="D461" s="21" t="s">
        <v>80</v>
      </c>
      <c r="E461" s="22" t="n">
        <v>10.44</v>
      </c>
      <c r="F461" s="22" t="n">
        <v>22.88</v>
      </c>
      <c r="G461" s="23" t="n">
        <v>38</v>
      </c>
      <c r="H461" s="23" t="n">
        <v>20</v>
      </c>
      <c r="I461" s="23" t="n">
        <f aca="false">G461-H461</f>
        <v>18</v>
      </c>
      <c r="J461" s="21" t="str">
        <f aca="false">IF(I461&lt;50,"LOW-IN-STOCK","IN-STOCK")</f>
        <v>LOW-IN-STOCK</v>
      </c>
      <c r="K461" s="22" t="n">
        <f aca="false">E461*G461</f>
        <v>396.72</v>
      </c>
      <c r="L461" s="22" t="n">
        <f aca="false">F461*H461</f>
        <v>457.6</v>
      </c>
      <c r="M461" s="22" t="n">
        <f aca="false">L461-K461</f>
        <v>60.88</v>
      </c>
    </row>
    <row r="462" customFormat="false" ht="15" hidden="false" customHeight="false" outlineLevel="0" collapsed="false">
      <c r="A462" s="21" t="s">
        <v>631</v>
      </c>
      <c r="B462" s="21" t="s">
        <v>209</v>
      </c>
      <c r="C462" s="21" t="s">
        <v>107</v>
      </c>
      <c r="D462" s="21" t="s">
        <v>160</v>
      </c>
      <c r="E462" s="22" t="n">
        <v>13.76</v>
      </c>
      <c r="F462" s="22" t="n">
        <v>29.51</v>
      </c>
      <c r="G462" s="23" t="n">
        <v>273</v>
      </c>
      <c r="H462" s="23" t="n">
        <v>74</v>
      </c>
      <c r="I462" s="23" t="n">
        <f aca="false">G462-H462</f>
        <v>199</v>
      </c>
      <c r="J462" s="21" t="str">
        <f aca="false">IF(I462&lt;50,"LOW-IN-STOCK","IN-STOCK")</f>
        <v>IN-STOCK</v>
      </c>
      <c r="K462" s="22" t="n">
        <f aca="false">E462*G462</f>
        <v>3756.48</v>
      </c>
      <c r="L462" s="22" t="n">
        <f aca="false">F462*H462</f>
        <v>2183.74</v>
      </c>
      <c r="M462" s="22" t="n">
        <f aca="false">L462-K462</f>
        <v>-1572.74</v>
      </c>
    </row>
    <row r="463" customFormat="false" ht="15" hidden="false" customHeight="false" outlineLevel="0" collapsed="false">
      <c r="A463" s="21" t="s">
        <v>632</v>
      </c>
      <c r="B463" s="21" t="s">
        <v>92</v>
      </c>
      <c r="C463" s="21" t="s">
        <v>93</v>
      </c>
      <c r="D463" s="21" t="s">
        <v>114</v>
      </c>
      <c r="E463" s="22" t="n">
        <v>7.73</v>
      </c>
      <c r="F463" s="22" t="n">
        <v>12.75</v>
      </c>
      <c r="G463" s="23" t="n">
        <v>236</v>
      </c>
      <c r="H463" s="23" t="n">
        <v>71</v>
      </c>
      <c r="I463" s="23" t="n">
        <f aca="false">G463-H463</f>
        <v>165</v>
      </c>
      <c r="J463" s="21" t="str">
        <f aca="false">IF(I463&lt;50,"LOW-IN-STOCK","IN-STOCK")</f>
        <v>IN-STOCK</v>
      </c>
      <c r="K463" s="22" t="n">
        <f aca="false">E463*G463</f>
        <v>1824.28</v>
      </c>
      <c r="L463" s="22" t="n">
        <f aca="false">F463*H463</f>
        <v>905.25</v>
      </c>
      <c r="M463" s="22" t="n">
        <f aca="false">L463-K463</f>
        <v>-919.03</v>
      </c>
    </row>
    <row r="464" customFormat="false" ht="15" hidden="false" customHeight="false" outlineLevel="0" collapsed="false">
      <c r="A464" s="21" t="s">
        <v>633</v>
      </c>
      <c r="B464" s="21" t="s">
        <v>227</v>
      </c>
      <c r="C464" s="21" t="s">
        <v>148</v>
      </c>
      <c r="D464" s="21" t="s">
        <v>84</v>
      </c>
      <c r="E464" s="22" t="n">
        <v>44.74</v>
      </c>
      <c r="F464" s="22" t="n">
        <v>69.59</v>
      </c>
      <c r="G464" s="23" t="n">
        <v>480</v>
      </c>
      <c r="H464" s="23" t="n">
        <v>315</v>
      </c>
      <c r="I464" s="23" t="n">
        <f aca="false">G464-H464</f>
        <v>165</v>
      </c>
      <c r="J464" s="21" t="str">
        <f aca="false">IF(I464&lt;50,"LOW-IN-STOCK","IN-STOCK")</f>
        <v>IN-STOCK</v>
      </c>
      <c r="K464" s="22" t="n">
        <f aca="false">E464*G464</f>
        <v>21475.2</v>
      </c>
      <c r="L464" s="22" t="n">
        <f aca="false">F464*H464</f>
        <v>21920.85</v>
      </c>
      <c r="M464" s="22" t="n">
        <f aca="false">L464-K464</f>
        <v>445.650000000001</v>
      </c>
    </row>
    <row r="465" customFormat="false" ht="15" hidden="false" customHeight="false" outlineLevel="0" collapsed="false">
      <c r="A465" s="21" t="s">
        <v>634</v>
      </c>
      <c r="B465" s="21" t="s">
        <v>216</v>
      </c>
      <c r="C465" s="21" t="s">
        <v>107</v>
      </c>
      <c r="D465" s="21" t="s">
        <v>80</v>
      </c>
      <c r="E465" s="22" t="n">
        <v>5.3</v>
      </c>
      <c r="F465" s="22" t="n">
        <v>8.69</v>
      </c>
      <c r="G465" s="23" t="n">
        <v>106</v>
      </c>
      <c r="H465" s="23" t="n">
        <v>30</v>
      </c>
      <c r="I465" s="23" t="n">
        <f aca="false">G465-H465</f>
        <v>76</v>
      </c>
      <c r="J465" s="21" t="str">
        <f aca="false">IF(I465&lt;50,"LOW-IN-STOCK","IN-STOCK")</f>
        <v>IN-STOCK</v>
      </c>
      <c r="K465" s="22" t="n">
        <f aca="false">E465*G465</f>
        <v>561.8</v>
      </c>
      <c r="L465" s="22" t="n">
        <f aca="false">F465*H465</f>
        <v>260.7</v>
      </c>
      <c r="M465" s="22" t="n">
        <f aca="false">L465-K465</f>
        <v>-301.1</v>
      </c>
    </row>
    <row r="466" customFormat="false" ht="15" hidden="false" customHeight="false" outlineLevel="0" collapsed="false">
      <c r="A466" s="21" t="s">
        <v>635</v>
      </c>
      <c r="B466" s="21" t="s">
        <v>267</v>
      </c>
      <c r="C466" s="21" t="s">
        <v>148</v>
      </c>
      <c r="D466" s="21" t="s">
        <v>114</v>
      </c>
      <c r="E466" s="22" t="n">
        <v>63.35</v>
      </c>
      <c r="F466" s="22" t="n">
        <v>86.82</v>
      </c>
      <c r="G466" s="23" t="n">
        <v>164</v>
      </c>
      <c r="H466" s="23" t="n">
        <v>107</v>
      </c>
      <c r="I466" s="23" t="n">
        <f aca="false">G466-H466</f>
        <v>57</v>
      </c>
      <c r="J466" s="21" t="str">
        <f aca="false">IF(I466&lt;50,"LOW-IN-STOCK","IN-STOCK")</f>
        <v>IN-STOCK</v>
      </c>
      <c r="K466" s="22" t="n">
        <f aca="false">E466*G466</f>
        <v>10389.4</v>
      </c>
      <c r="L466" s="22" t="n">
        <f aca="false">F466*H466</f>
        <v>9289.74</v>
      </c>
      <c r="M466" s="22" t="n">
        <f aca="false">L466-K466</f>
        <v>-1099.66</v>
      </c>
    </row>
    <row r="467" customFormat="false" ht="15" hidden="false" customHeight="false" outlineLevel="0" collapsed="false">
      <c r="A467" s="21" t="s">
        <v>636</v>
      </c>
      <c r="B467" s="21" t="s">
        <v>122</v>
      </c>
      <c r="C467" s="21" t="s">
        <v>75</v>
      </c>
      <c r="D467" s="21" t="s">
        <v>114</v>
      </c>
      <c r="E467" s="22" t="n">
        <v>18.49</v>
      </c>
      <c r="F467" s="22" t="n">
        <v>34.52</v>
      </c>
      <c r="G467" s="23" t="n">
        <v>374</v>
      </c>
      <c r="H467" s="23" t="n">
        <v>267</v>
      </c>
      <c r="I467" s="23" t="n">
        <f aca="false">G467-H467</f>
        <v>107</v>
      </c>
      <c r="J467" s="21" t="str">
        <f aca="false">IF(I467&lt;50,"LOW-IN-STOCK","IN-STOCK")</f>
        <v>IN-STOCK</v>
      </c>
      <c r="K467" s="22" t="n">
        <f aca="false">E467*G467</f>
        <v>6915.26</v>
      </c>
      <c r="L467" s="22" t="n">
        <f aca="false">F467*H467</f>
        <v>9216.84</v>
      </c>
      <c r="M467" s="22" t="n">
        <f aca="false">L467-K467</f>
        <v>2301.58</v>
      </c>
    </row>
    <row r="468" customFormat="false" ht="15" hidden="false" customHeight="false" outlineLevel="0" collapsed="false">
      <c r="A468" s="21" t="s">
        <v>637</v>
      </c>
      <c r="B468" s="21" t="s">
        <v>276</v>
      </c>
      <c r="C468" s="21" t="s">
        <v>83</v>
      </c>
      <c r="D468" s="21" t="s">
        <v>99</v>
      </c>
      <c r="E468" s="22" t="n">
        <v>15.05</v>
      </c>
      <c r="F468" s="22" t="n">
        <v>27.38</v>
      </c>
      <c r="G468" s="23" t="n">
        <v>190</v>
      </c>
      <c r="H468" s="23" t="n">
        <v>32</v>
      </c>
      <c r="I468" s="23" t="n">
        <f aca="false">G468-H468</f>
        <v>158</v>
      </c>
      <c r="J468" s="21" t="str">
        <f aca="false">IF(I468&lt;50,"LOW-IN-STOCK","IN-STOCK")</f>
        <v>IN-STOCK</v>
      </c>
      <c r="K468" s="22" t="n">
        <f aca="false">E468*G468</f>
        <v>2859.5</v>
      </c>
      <c r="L468" s="22" t="n">
        <f aca="false">F468*H468</f>
        <v>876.16</v>
      </c>
      <c r="M468" s="22" t="n">
        <f aca="false">L468-K468</f>
        <v>-1983.34</v>
      </c>
    </row>
    <row r="469" customFormat="false" ht="15" hidden="false" customHeight="false" outlineLevel="0" collapsed="false">
      <c r="A469" s="21" t="s">
        <v>638</v>
      </c>
      <c r="B469" s="21" t="s">
        <v>186</v>
      </c>
      <c r="C469" s="21" t="s">
        <v>83</v>
      </c>
      <c r="D469" s="21" t="s">
        <v>108</v>
      </c>
      <c r="E469" s="22" t="n">
        <v>15.26</v>
      </c>
      <c r="F469" s="22" t="n">
        <v>27.56</v>
      </c>
      <c r="G469" s="23" t="n">
        <v>377</v>
      </c>
      <c r="H469" s="23" t="n">
        <v>344</v>
      </c>
      <c r="I469" s="23" t="n">
        <f aca="false">G469-H469</f>
        <v>33</v>
      </c>
      <c r="J469" s="21" t="str">
        <f aca="false">IF(I469&lt;50,"LOW-IN-STOCK","IN-STOCK")</f>
        <v>LOW-IN-STOCK</v>
      </c>
      <c r="K469" s="22" t="n">
        <f aca="false">E469*G469</f>
        <v>5753.02</v>
      </c>
      <c r="L469" s="22" t="n">
        <f aca="false">F469*H469</f>
        <v>9480.64</v>
      </c>
      <c r="M469" s="22" t="n">
        <f aca="false">L469-K469</f>
        <v>3727.62</v>
      </c>
    </row>
    <row r="470" customFormat="false" ht="15" hidden="false" customHeight="false" outlineLevel="0" collapsed="false">
      <c r="A470" s="21" t="s">
        <v>639</v>
      </c>
      <c r="B470" s="21" t="s">
        <v>120</v>
      </c>
      <c r="C470" s="21" t="s">
        <v>107</v>
      </c>
      <c r="D470" s="21" t="s">
        <v>76</v>
      </c>
      <c r="E470" s="22" t="n">
        <v>12.22</v>
      </c>
      <c r="F470" s="22" t="n">
        <v>20.61</v>
      </c>
      <c r="G470" s="23" t="n">
        <v>294</v>
      </c>
      <c r="H470" s="23" t="n">
        <v>194</v>
      </c>
      <c r="I470" s="23" t="n">
        <f aca="false">G470-H470</f>
        <v>100</v>
      </c>
      <c r="J470" s="21" t="str">
        <f aca="false">IF(I470&lt;50,"LOW-IN-STOCK","IN-STOCK")</f>
        <v>IN-STOCK</v>
      </c>
      <c r="K470" s="22" t="n">
        <f aca="false">E470*G470</f>
        <v>3592.68</v>
      </c>
      <c r="L470" s="22" t="n">
        <f aca="false">F470*H470</f>
        <v>3998.34</v>
      </c>
      <c r="M470" s="22" t="n">
        <f aca="false">L470-K470</f>
        <v>405.659999999999</v>
      </c>
    </row>
    <row r="471" customFormat="false" ht="15" hidden="false" customHeight="false" outlineLevel="0" collapsed="false">
      <c r="A471" s="21" t="s">
        <v>640</v>
      </c>
      <c r="B471" s="21" t="s">
        <v>287</v>
      </c>
      <c r="C471" s="21" t="s">
        <v>87</v>
      </c>
      <c r="D471" s="21" t="s">
        <v>76</v>
      </c>
      <c r="E471" s="22" t="n">
        <v>19.26</v>
      </c>
      <c r="F471" s="22" t="n">
        <v>36.1</v>
      </c>
      <c r="G471" s="23" t="n">
        <v>494</v>
      </c>
      <c r="H471" s="23" t="n">
        <v>416</v>
      </c>
      <c r="I471" s="23" t="n">
        <f aca="false">G471-H471</f>
        <v>78</v>
      </c>
      <c r="J471" s="21" t="str">
        <f aca="false">IF(I471&lt;50,"LOW-IN-STOCK","IN-STOCK")</f>
        <v>IN-STOCK</v>
      </c>
      <c r="K471" s="22" t="n">
        <f aca="false">E471*G471</f>
        <v>9514.44</v>
      </c>
      <c r="L471" s="22" t="n">
        <f aca="false">F471*H471</f>
        <v>15017.6</v>
      </c>
      <c r="M471" s="22" t="n">
        <f aca="false">L471-K471</f>
        <v>5503.16</v>
      </c>
    </row>
    <row r="472" customFormat="false" ht="15" hidden="false" customHeight="false" outlineLevel="0" collapsed="false">
      <c r="A472" s="21" t="s">
        <v>641</v>
      </c>
      <c r="B472" s="21" t="s">
        <v>166</v>
      </c>
      <c r="C472" s="21" t="s">
        <v>93</v>
      </c>
      <c r="D472" s="21" t="s">
        <v>76</v>
      </c>
      <c r="E472" s="22" t="n">
        <v>9.69</v>
      </c>
      <c r="F472" s="22" t="n">
        <v>21.27</v>
      </c>
      <c r="G472" s="23" t="n">
        <v>69</v>
      </c>
      <c r="H472" s="23" t="n">
        <v>52</v>
      </c>
      <c r="I472" s="23" t="n">
        <f aca="false">G472-H472</f>
        <v>17</v>
      </c>
      <c r="J472" s="21" t="str">
        <f aca="false">IF(I472&lt;50,"LOW-IN-STOCK","IN-STOCK")</f>
        <v>LOW-IN-STOCK</v>
      </c>
      <c r="K472" s="22" t="n">
        <f aca="false">E472*G472</f>
        <v>668.61</v>
      </c>
      <c r="L472" s="22" t="n">
        <f aca="false">F472*H472</f>
        <v>1106.04</v>
      </c>
      <c r="M472" s="22" t="n">
        <f aca="false">L472-K472</f>
        <v>437.43</v>
      </c>
    </row>
    <row r="473" customFormat="false" ht="15" hidden="false" customHeight="false" outlineLevel="0" collapsed="false">
      <c r="A473" s="21" t="s">
        <v>642</v>
      </c>
      <c r="B473" s="21" t="s">
        <v>124</v>
      </c>
      <c r="C473" s="21" t="s">
        <v>79</v>
      </c>
      <c r="D473" s="21" t="s">
        <v>102</v>
      </c>
      <c r="E473" s="22" t="n">
        <v>5.2</v>
      </c>
      <c r="F473" s="22" t="n">
        <v>9.98</v>
      </c>
      <c r="G473" s="23" t="n">
        <v>261</v>
      </c>
      <c r="H473" s="23" t="n">
        <v>243</v>
      </c>
      <c r="I473" s="23" t="n">
        <f aca="false">G473-H473</f>
        <v>18</v>
      </c>
      <c r="J473" s="21" t="str">
        <f aca="false">IF(I473&lt;50,"LOW-IN-STOCK","IN-STOCK")</f>
        <v>LOW-IN-STOCK</v>
      </c>
      <c r="K473" s="22" t="n">
        <f aca="false">E473*G473</f>
        <v>1357.2</v>
      </c>
      <c r="L473" s="22" t="n">
        <f aca="false">F473*H473</f>
        <v>2425.14</v>
      </c>
      <c r="M473" s="22" t="n">
        <f aca="false">L473-K473</f>
        <v>1067.94</v>
      </c>
    </row>
    <row r="474" customFormat="false" ht="15" hidden="false" customHeight="false" outlineLevel="0" collapsed="false">
      <c r="A474" s="21" t="s">
        <v>643</v>
      </c>
      <c r="B474" s="21" t="s">
        <v>250</v>
      </c>
      <c r="C474" s="21" t="s">
        <v>79</v>
      </c>
      <c r="D474" s="21" t="s">
        <v>137</v>
      </c>
      <c r="E474" s="22" t="n">
        <v>18.26</v>
      </c>
      <c r="F474" s="22" t="n">
        <v>34.45</v>
      </c>
      <c r="G474" s="23" t="n">
        <v>436</v>
      </c>
      <c r="H474" s="23" t="n">
        <v>144</v>
      </c>
      <c r="I474" s="23" t="n">
        <f aca="false">G474-H474</f>
        <v>292</v>
      </c>
      <c r="J474" s="21" t="str">
        <f aca="false">IF(I474&lt;50,"LOW-IN-STOCK","IN-STOCK")</f>
        <v>IN-STOCK</v>
      </c>
      <c r="K474" s="22" t="n">
        <f aca="false">E474*G474</f>
        <v>7961.36</v>
      </c>
      <c r="L474" s="22" t="n">
        <f aca="false">F474*H474</f>
        <v>4960.8</v>
      </c>
      <c r="M474" s="22" t="n">
        <f aca="false">L474-K474</f>
        <v>-3000.56</v>
      </c>
    </row>
    <row r="475" customFormat="false" ht="15" hidden="false" customHeight="false" outlineLevel="0" collapsed="false">
      <c r="A475" s="21" t="s">
        <v>644</v>
      </c>
      <c r="B475" s="21" t="s">
        <v>143</v>
      </c>
      <c r="C475" s="21" t="s">
        <v>107</v>
      </c>
      <c r="D475" s="21" t="s">
        <v>108</v>
      </c>
      <c r="E475" s="22" t="n">
        <v>7.61</v>
      </c>
      <c r="F475" s="22" t="n">
        <v>11.4</v>
      </c>
      <c r="G475" s="23" t="n">
        <v>312</v>
      </c>
      <c r="H475" s="23" t="n">
        <v>74</v>
      </c>
      <c r="I475" s="23" t="n">
        <f aca="false">G475-H475</f>
        <v>238</v>
      </c>
      <c r="J475" s="21" t="str">
        <f aca="false">IF(I475&lt;50,"LOW-IN-STOCK","IN-STOCK")</f>
        <v>IN-STOCK</v>
      </c>
      <c r="K475" s="22" t="n">
        <f aca="false">E475*G475</f>
        <v>2374.32</v>
      </c>
      <c r="L475" s="22" t="n">
        <f aca="false">F475*H475</f>
        <v>843.6</v>
      </c>
      <c r="M475" s="22" t="n">
        <f aca="false">L475-K475</f>
        <v>-1530.72</v>
      </c>
    </row>
    <row r="476" customFormat="false" ht="15" hidden="false" customHeight="false" outlineLevel="0" collapsed="false">
      <c r="A476" s="21" t="s">
        <v>645</v>
      </c>
      <c r="B476" s="21" t="s">
        <v>308</v>
      </c>
      <c r="C476" s="21" t="s">
        <v>87</v>
      </c>
      <c r="D476" s="21" t="s">
        <v>76</v>
      </c>
      <c r="E476" s="22" t="n">
        <v>5.35</v>
      </c>
      <c r="F476" s="22" t="n">
        <v>7.5</v>
      </c>
      <c r="G476" s="23" t="n">
        <v>314</v>
      </c>
      <c r="H476" s="23" t="n">
        <v>102</v>
      </c>
      <c r="I476" s="23" t="n">
        <f aca="false">G476-H476</f>
        <v>212</v>
      </c>
      <c r="J476" s="21" t="str">
        <f aca="false">IF(I476&lt;50,"LOW-IN-STOCK","IN-STOCK")</f>
        <v>IN-STOCK</v>
      </c>
      <c r="K476" s="22" t="n">
        <f aca="false">E476*G476</f>
        <v>1679.9</v>
      </c>
      <c r="L476" s="22" t="n">
        <f aca="false">F476*H476</f>
        <v>765</v>
      </c>
      <c r="M476" s="22" t="n">
        <f aca="false">L476-K476</f>
        <v>-914.9</v>
      </c>
    </row>
    <row r="477" customFormat="false" ht="15" hidden="false" customHeight="false" outlineLevel="0" collapsed="false">
      <c r="A477" s="21" t="s">
        <v>646</v>
      </c>
      <c r="B477" s="21" t="s">
        <v>170</v>
      </c>
      <c r="C477" s="21" t="s">
        <v>87</v>
      </c>
      <c r="D477" s="21" t="s">
        <v>84</v>
      </c>
      <c r="E477" s="22" t="n">
        <v>23.3</v>
      </c>
      <c r="F477" s="22" t="n">
        <v>45.52</v>
      </c>
      <c r="G477" s="23" t="n">
        <v>498</v>
      </c>
      <c r="H477" s="23" t="n">
        <v>254</v>
      </c>
      <c r="I477" s="23" t="n">
        <f aca="false">G477-H477</f>
        <v>244</v>
      </c>
      <c r="J477" s="21" t="str">
        <f aca="false">IF(I477&lt;50,"LOW-IN-STOCK","IN-STOCK")</f>
        <v>IN-STOCK</v>
      </c>
      <c r="K477" s="22" t="n">
        <f aca="false">E477*G477</f>
        <v>11603.4</v>
      </c>
      <c r="L477" s="22" t="n">
        <f aca="false">F477*H477</f>
        <v>11562.08</v>
      </c>
      <c r="M477" s="22" t="n">
        <f aca="false">L477-K477</f>
        <v>-41.3199999999997</v>
      </c>
    </row>
    <row r="478" customFormat="false" ht="15" hidden="false" customHeight="false" outlineLevel="0" collapsed="false">
      <c r="A478" s="21" t="s">
        <v>647</v>
      </c>
      <c r="B478" s="21" t="s">
        <v>179</v>
      </c>
      <c r="C478" s="21" t="s">
        <v>93</v>
      </c>
      <c r="D478" s="21" t="s">
        <v>137</v>
      </c>
      <c r="E478" s="22" t="n">
        <v>8.12</v>
      </c>
      <c r="F478" s="22" t="n">
        <v>15.92</v>
      </c>
      <c r="G478" s="23" t="n">
        <v>490</v>
      </c>
      <c r="H478" s="23" t="n">
        <v>456</v>
      </c>
      <c r="I478" s="23" t="n">
        <f aca="false">G478-H478</f>
        <v>34</v>
      </c>
      <c r="J478" s="21" t="str">
        <f aca="false">IF(I478&lt;50,"LOW-IN-STOCK","IN-STOCK")</f>
        <v>LOW-IN-STOCK</v>
      </c>
      <c r="K478" s="22" t="n">
        <f aca="false">E478*G478</f>
        <v>3978.8</v>
      </c>
      <c r="L478" s="22" t="n">
        <f aca="false">F478*H478</f>
        <v>7259.52</v>
      </c>
      <c r="M478" s="22" t="n">
        <f aca="false">L478-K478</f>
        <v>3280.72</v>
      </c>
    </row>
    <row r="479" customFormat="false" ht="15" hidden="false" customHeight="false" outlineLevel="0" collapsed="false">
      <c r="A479" s="21" t="s">
        <v>648</v>
      </c>
      <c r="B479" s="21" t="s">
        <v>262</v>
      </c>
      <c r="C479" s="21" t="s">
        <v>75</v>
      </c>
      <c r="D479" s="21" t="s">
        <v>137</v>
      </c>
      <c r="E479" s="22" t="n">
        <v>11.61</v>
      </c>
      <c r="F479" s="22" t="n">
        <v>15.16</v>
      </c>
      <c r="G479" s="23" t="n">
        <v>391</v>
      </c>
      <c r="H479" s="23" t="n">
        <v>41</v>
      </c>
      <c r="I479" s="23" t="n">
        <f aca="false">G479-H479</f>
        <v>350</v>
      </c>
      <c r="J479" s="21" t="str">
        <f aca="false">IF(I479&lt;50,"LOW-IN-STOCK","IN-STOCK")</f>
        <v>IN-STOCK</v>
      </c>
      <c r="K479" s="22" t="n">
        <f aca="false">E479*G479</f>
        <v>4539.51</v>
      </c>
      <c r="L479" s="22" t="n">
        <f aca="false">F479*H479</f>
        <v>621.56</v>
      </c>
      <c r="M479" s="22" t="n">
        <f aca="false">L479-K479</f>
        <v>-3917.95</v>
      </c>
    </row>
    <row r="480" customFormat="false" ht="15" hidden="false" customHeight="false" outlineLevel="0" collapsed="false">
      <c r="A480" s="21" t="s">
        <v>649</v>
      </c>
      <c r="B480" s="21" t="s">
        <v>311</v>
      </c>
      <c r="C480" s="21" t="s">
        <v>75</v>
      </c>
      <c r="D480" s="21" t="s">
        <v>137</v>
      </c>
      <c r="E480" s="22" t="n">
        <v>10</v>
      </c>
      <c r="F480" s="22" t="n">
        <v>20.5</v>
      </c>
      <c r="G480" s="23" t="n">
        <v>289</v>
      </c>
      <c r="H480" s="23" t="n">
        <v>157</v>
      </c>
      <c r="I480" s="23" t="n">
        <f aca="false">G480-H480</f>
        <v>132</v>
      </c>
      <c r="J480" s="21" t="str">
        <f aca="false">IF(I480&lt;50,"LOW-IN-STOCK","IN-STOCK")</f>
        <v>IN-STOCK</v>
      </c>
      <c r="K480" s="22" t="n">
        <f aca="false">E480*G480</f>
        <v>2890</v>
      </c>
      <c r="L480" s="22" t="n">
        <f aca="false">F480*H480</f>
        <v>3218.5</v>
      </c>
      <c r="M480" s="22" t="n">
        <f aca="false">L480-K480</f>
        <v>328.5</v>
      </c>
    </row>
    <row r="481" customFormat="false" ht="15" hidden="false" customHeight="false" outlineLevel="0" collapsed="false">
      <c r="A481" s="21" t="s">
        <v>650</v>
      </c>
      <c r="B481" s="21" t="s">
        <v>306</v>
      </c>
      <c r="C481" s="21" t="s">
        <v>93</v>
      </c>
      <c r="D481" s="21" t="s">
        <v>88</v>
      </c>
      <c r="E481" s="22" t="n">
        <v>7.2</v>
      </c>
      <c r="F481" s="22" t="n">
        <v>12.42</v>
      </c>
      <c r="G481" s="23" t="n">
        <v>275</v>
      </c>
      <c r="H481" s="23" t="n">
        <v>170</v>
      </c>
      <c r="I481" s="23" t="n">
        <f aca="false">G481-H481</f>
        <v>105</v>
      </c>
      <c r="J481" s="21" t="str">
        <f aca="false">IF(I481&lt;50,"LOW-IN-STOCK","IN-STOCK")</f>
        <v>IN-STOCK</v>
      </c>
      <c r="K481" s="22" t="n">
        <f aca="false">E481*G481</f>
        <v>1980</v>
      </c>
      <c r="L481" s="22" t="n">
        <f aca="false">F481*H481</f>
        <v>2111.4</v>
      </c>
      <c r="M481" s="22" t="n">
        <f aca="false">L481-K481</f>
        <v>131.4</v>
      </c>
    </row>
    <row r="482" customFormat="false" ht="15" hidden="false" customHeight="false" outlineLevel="0" collapsed="false">
      <c r="A482" s="21" t="s">
        <v>651</v>
      </c>
      <c r="B482" s="21" t="s">
        <v>143</v>
      </c>
      <c r="C482" s="21" t="s">
        <v>107</v>
      </c>
      <c r="D482" s="21" t="s">
        <v>80</v>
      </c>
      <c r="E482" s="22" t="n">
        <v>3.77</v>
      </c>
      <c r="F482" s="22" t="n">
        <v>8.28</v>
      </c>
      <c r="G482" s="23" t="n">
        <v>484</v>
      </c>
      <c r="H482" s="23" t="n">
        <v>351</v>
      </c>
      <c r="I482" s="23" t="n">
        <f aca="false">G482-H482</f>
        <v>133</v>
      </c>
      <c r="J482" s="21" t="str">
        <f aca="false">IF(I482&lt;50,"LOW-IN-STOCK","IN-STOCK")</f>
        <v>IN-STOCK</v>
      </c>
      <c r="K482" s="22" t="n">
        <f aca="false">E482*G482</f>
        <v>1824.68</v>
      </c>
      <c r="L482" s="22" t="n">
        <f aca="false">F482*H482</f>
        <v>2906.28</v>
      </c>
      <c r="M482" s="22" t="n">
        <f aca="false">L482-K482</f>
        <v>1081.6</v>
      </c>
    </row>
    <row r="483" customFormat="false" ht="15" hidden="false" customHeight="false" outlineLevel="0" collapsed="false">
      <c r="A483" s="21" t="s">
        <v>652</v>
      </c>
      <c r="B483" s="21" t="s">
        <v>447</v>
      </c>
      <c r="C483" s="21" t="s">
        <v>148</v>
      </c>
      <c r="D483" s="21" t="s">
        <v>160</v>
      </c>
      <c r="E483" s="22" t="n">
        <v>78.73</v>
      </c>
      <c r="F483" s="22" t="n">
        <v>134.97</v>
      </c>
      <c r="G483" s="23" t="n">
        <v>219</v>
      </c>
      <c r="H483" s="23" t="n">
        <v>169</v>
      </c>
      <c r="I483" s="23" t="n">
        <f aca="false">G483-H483</f>
        <v>50</v>
      </c>
      <c r="J483" s="21" t="str">
        <f aca="false">IF(I483&lt;50,"LOW-IN-STOCK","IN-STOCK")</f>
        <v>IN-STOCK</v>
      </c>
      <c r="K483" s="22" t="n">
        <f aca="false">E483*G483</f>
        <v>17241.87</v>
      </c>
      <c r="L483" s="22" t="n">
        <f aca="false">F483*H483</f>
        <v>22809.93</v>
      </c>
      <c r="M483" s="22" t="n">
        <f aca="false">L483-K483</f>
        <v>5568.06</v>
      </c>
    </row>
    <row r="484" customFormat="false" ht="15" hidden="false" customHeight="false" outlineLevel="0" collapsed="false">
      <c r="A484" s="21" t="s">
        <v>653</v>
      </c>
      <c r="B484" s="21" t="s">
        <v>147</v>
      </c>
      <c r="C484" s="21" t="s">
        <v>148</v>
      </c>
      <c r="D484" s="21" t="s">
        <v>99</v>
      </c>
      <c r="E484" s="22" t="n">
        <v>40.15</v>
      </c>
      <c r="F484" s="22" t="n">
        <v>66.22</v>
      </c>
      <c r="G484" s="23" t="n">
        <v>447</v>
      </c>
      <c r="H484" s="23" t="n">
        <v>415</v>
      </c>
      <c r="I484" s="23" t="n">
        <f aca="false">G484-H484</f>
        <v>32</v>
      </c>
      <c r="J484" s="21" t="str">
        <f aca="false">IF(I484&lt;50,"LOW-IN-STOCK","IN-STOCK")</f>
        <v>LOW-IN-STOCK</v>
      </c>
      <c r="K484" s="22" t="n">
        <f aca="false">E484*G484</f>
        <v>17947.05</v>
      </c>
      <c r="L484" s="22" t="n">
        <f aca="false">F484*H484</f>
        <v>27481.3</v>
      </c>
      <c r="M484" s="22" t="n">
        <f aca="false">L484-K484</f>
        <v>9534.25</v>
      </c>
    </row>
    <row r="485" customFormat="false" ht="15" hidden="false" customHeight="false" outlineLevel="0" collapsed="false">
      <c r="A485" s="21" t="s">
        <v>654</v>
      </c>
      <c r="B485" s="21" t="s">
        <v>170</v>
      </c>
      <c r="C485" s="21" t="s">
        <v>87</v>
      </c>
      <c r="D485" s="21" t="s">
        <v>88</v>
      </c>
      <c r="E485" s="22" t="n">
        <v>4.98</v>
      </c>
      <c r="F485" s="22" t="n">
        <v>8.94</v>
      </c>
      <c r="G485" s="23" t="n">
        <v>104</v>
      </c>
      <c r="H485" s="23" t="n">
        <v>52</v>
      </c>
      <c r="I485" s="23" t="n">
        <f aca="false">G485-H485</f>
        <v>52</v>
      </c>
      <c r="J485" s="21" t="str">
        <f aca="false">IF(I485&lt;50,"LOW-IN-STOCK","IN-STOCK")</f>
        <v>IN-STOCK</v>
      </c>
      <c r="K485" s="22" t="n">
        <f aca="false">E485*G485</f>
        <v>517.92</v>
      </c>
      <c r="L485" s="22" t="n">
        <f aca="false">F485*H485</f>
        <v>464.88</v>
      </c>
      <c r="M485" s="22" t="n">
        <f aca="false">L485-K485</f>
        <v>-53.0400000000001</v>
      </c>
    </row>
    <row r="486" customFormat="false" ht="15" hidden="false" customHeight="false" outlineLevel="0" collapsed="false">
      <c r="A486" s="21" t="s">
        <v>655</v>
      </c>
      <c r="B486" s="21" t="s">
        <v>297</v>
      </c>
      <c r="C486" s="21" t="s">
        <v>107</v>
      </c>
      <c r="D486" s="21" t="s">
        <v>80</v>
      </c>
      <c r="E486" s="22" t="n">
        <v>7.57</v>
      </c>
      <c r="F486" s="22" t="n">
        <v>10.37</v>
      </c>
      <c r="G486" s="23" t="n">
        <v>95</v>
      </c>
      <c r="H486" s="23" t="n">
        <v>85</v>
      </c>
      <c r="I486" s="23" t="n">
        <f aca="false">G486-H486</f>
        <v>10</v>
      </c>
      <c r="J486" s="21" t="str">
        <f aca="false">IF(I486&lt;50,"LOW-IN-STOCK","IN-STOCK")</f>
        <v>LOW-IN-STOCK</v>
      </c>
      <c r="K486" s="22" t="n">
        <f aca="false">E486*G486</f>
        <v>719.15</v>
      </c>
      <c r="L486" s="22" t="n">
        <f aca="false">F486*H486</f>
        <v>881.45</v>
      </c>
      <c r="M486" s="22" t="n">
        <f aca="false">L486-K486</f>
        <v>162.3</v>
      </c>
    </row>
    <row r="487" customFormat="false" ht="15" hidden="false" customHeight="false" outlineLevel="0" collapsed="false">
      <c r="A487" s="21" t="s">
        <v>656</v>
      </c>
      <c r="B487" s="21" t="s">
        <v>159</v>
      </c>
      <c r="C487" s="21" t="s">
        <v>93</v>
      </c>
      <c r="D487" s="21" t="s">
        <v>84</v>
      </c>
      <c r="E487" s="22" t="n">
        <v>3.5</v>
      </c>
      <c r="F487" s="22" t="n">
        <v>7.3</v>
      </c>
      <c r="G487" s="23" t="n">
        <v>134</v>
      </c>
      <c r="H487" s="23" t="n">
        <v>108</v>
      </c>
      <c r="I487" s="23" t="n">
        <f aca="false">G487-H487</f>
        <v>26</v>
      </c>
      <c r="J487" s="21" t="str">
        <f aca="false">IF(I487&lt;50,"LOW-IN-STOCK","IN-STOCK")</f>
        <v>LOW-IN-STOCK</v>
      </c>
      <c r="K487" s="22" t="n">
        <f aca="false">E487*G487</f>
        <v>469</v>
      </c>
      <c r="L487" s="22" t="n">
        <f aca="false">F487*H487</f>
        <v>788.4</v>
      </c>
      <c r="M487" s="22" t="n">
        <f aca="false">L487-K487</f>
        <v>319.4</v>
      </c>
    </row>
    <row r="488" customFormat="false" ht="15" hidden="false" customHeight="false" outlineLevel="0" collapsed="false">
      <c r="A488" s="21" t="s">
        <v>657</v>
      </c>
      <c r="B488" s="21" t="s">
        <v>267</v>
      </c>
      <c r="C488" s="21" t="s">
        <v>148</v>
      </c>
      <c r="D488" s="21" t="s">
        <v>80</v>
      </c>
      <c r="E488" s="22" t="n">
        <v>52.95</v>
      </c>
      <c r="F488" s="22" t="n">
        <v>84.84</v>
      </c>
      <c r="G488" s="23" t="n">
        <v>407</v>
      </c>
      <c r="H488" s="23" t="n">
        <v>214</v>
      </c>
      <c r="I488" s="23" t="n">
        <f aca="false">G488-H488</f>
        <v>193</v>
      </c>
      <c r="J488" s="21" t="str">
        <f aca="false">IF(I488&lt;50,"LOW-IN-STOCK","IN-STOCK")</f>
        <v>IN-STOCK</v>
      </c>
      <c r="K488" s="22" t="n">
        <f aca="false">E488*G488</f>
        <v>21550.65</v>
      </c>
      <c r="L488" s="22" t="n">
        <f aca="false">F488*H488</f>
        <v>18155.76</v>
      </c>
      <c r="M488" s="22" t="n">
        <f aca="false">L488-K488</f>
        <v>-3394.89</v>
      </c>
    </row>
    <row r="489" customFormat="false" ht="15" hidden="false" customHeight="false" outlineLevel="0" collapsed="false">
      <c r="A489" s="21" t="s">
        <v>658</v>
      </c>
      <c r="B489" s="21" t="s">
        <v>74</v>
      </c>
      <c r="C489" s="21" t="s">
        <v>75</v>
      </c>
      <c r="D489" s="21" t="s">
        <v>88</v>
      </c>
      <c r="E489" s="22" t="n">
        <v>23.25</v>
      </c>
      <c r="F489" s="22" t="n">
        <v>38.95</v>
      </c>
      <c r="G489" s="23" t="n">
        <v>387</v>
      </c>
      <c r="H489" s="23" t="n">
        <v>79</v>
      </c>
      <c r="I489" s="23" t="n">
        <f aca="false">G489-H489</f>
        <v>308</v>
      </c>
      <c r="J489" s="21" t="str">
        <f aca="false">IF(I489&lt;50,"LOW-IN-STOCK","IN-STOCK")</f>
        <v>IN-STOCK</v>
      </c>
      <c r="K489" s="22" t="n">
        <f aca="false">E489*G489</f>
        <v>8997.75</v>
      </c>
      <c r="L489" s="22" t="n">
        <f aca="false">F489*H489</f>
        <v>3077.05</v>
      </c>
      <c r="M489" s="22" t="n">
        <f aca="false">L489-K489</f>
        <v>-5920.7</v>
      </c>
    </row>
    <row r="490" customFormat="false" ht="15" hidden="false" customHeight="false" outlineLevel="0" collapsed="false">
      <c r="A490" s="21" t="s">
        <v>659</v>
      </c>
      <c r="B490" s="21" t="s">
        <v>164</v>
      </c>
      <c r="C490" s="21" t="s">
        <v>93</v>
      </c>
      <c r="D490" s="21" t="s">
        <v>108</v>
      </c>
      <c r="E490" s="22" t="n">
        <v>11.07</v>
      </c>
      <c r="F490" s="22" t="n">
        <v>23.92</v>
      </c>
      <c r="G490" s="23" t="n">
        <v>86</v>
      </c>
      <c r="H490" s="23" t="n">
        <v>42</v>
      </c>
      <c r="I490" s="23" t="n">
        <f aca="false">G490-H490</f>
        <v>44</v>
      </c>
      <c r="J490" s="21" t="str">
        <f aca="false">IF(I490&lt;50,"LOW-IN-STOCK","IN-STOCK")</f>
        <v>LOW-IN-STOCK</v>
      </c>
      <c r="K490" s="22" t="n">
        <f aca="false">E490*G490</f>
        <v>952.02</v>
      </c>
      <c r="L490" s="22" t="n">
        <f aca="false">F490*H490</f>
        <v>1004.64</v>
      </c>
      <c r="M490" s="22" t="n">
        <f aca="false">L490-K490</f>
        <v>52.6200000000001</v>
      </c>
    </row>
    <row r="491" customFormat="false" ht="15" hidden="false" customHeight="false" outlineLevel="0" collapsed="false">
      <c r="A491" s="21" t="s">
        <v>660</v>
      </c>
      <c r="B491" s="21" t="s">
        <v>184</v>
      </c>
      <c r="C491" s="21" t="s">
        <v>148</v>
      </c>
      <c r="D491" s="21" t="s">
        <v>80</v>
      </c>
      <c r="E491" s="22" t="n">
        <v>5.33</v>
      </c>
      <c r="F491" s="22" t="n">
        <v>8.64</v>
      </c>
      <c r="G491" s="23" t="n">
        <v>363</v>
      </c>
      <c r="H491" s="23" t="n">
        <v>170</v>
      </c>
      <c r="I491" s="23" t="n">
        <f aca="false">G491-H491</f>
        <v>193</v>
      </c>
      <c r="J491" s="21" t="str">
        <f aca="false">IF(I491&lt;50,"LOW-IN-STOCK","IN-STOCK")</f>
        <v>IN-STOCK</v>
      </c>
      <c r="K491" s="22" t="n">
        <f aca="false">E491*G491</f>
        <v>1934.79</v>
      </c>
      <c r="L491" s="22" t="n">
        <f aca="false">F491*H491</f>
        <v>1468.8</v>
      </c>
      <c r="M491" s="22" t="n">
        <f aca="false">L491-K491</f>
        <v>-465.99</v>
      </c>
    </row>
    <row r="492" customFormat="false" ht="15" hidden="false" customHeight="false" outlineLevel="0" collapsed="false">
      <c r="A492" s="21" t="s">
        <v>661</v>
      </c>
      <c r="B492" s="21" t="s">
        <v>311</v>
      </c>
      <c r="C492" s="21" t="s">
        <v>75</v>
      </c>
      <c r="D492" s="21" t="s">
        <v>80</v>
      </c>
      <c r="E492" s="22" t="n">
        <v>11.48</v>
      </c>
      <c r="F492" s="22" t="n">
        <v>20.76</v>
      </c>
      <c r="G492" s="23" t="n">
        <v>396</v>
      </c>
      <c r="H492" s="23" t="n">
        <v>186</v>
      </c>
      <c r="I492" s="23" t="n">
        <f aca="false">G492-H492</f>
        <v>210</v>
      </c>
      <c r="J492" s="21" t="str">
        <f aca="false">IF(I492&lt;50,"LOW-IN-STOCK","IN-STOCK")</f>
        <v>IN-STOCK</v>
      </c>
      <c r="K492" s="22" t="n">
        <f aca="false">E492*G492</f>
        <v>4546.08</v>
      </c>
      <c r="L492" s="22" t="n">
        <f aca="false">F492*H492</f>
        <v>3861.36</v>
      </c>
      <c r="M492" s="22" t="n">
        <f aca="false">L492-K492</f>
        <v>-684.72</v>
      </c>
    </row>
    <row r="493" customFormat="false" ht="15" hidden="false" customHeight="false" outlineLevel="0" collapsed="false">
      <c r="A493" s="21" t="s">
        <v>662</v>
      </c>
      <c r="B493" s="21" t="s">
        <v>134</v>
      </c>
      <c r="C493" s="21" t="s">
        <v>83</v>
      </c>
      <c r="D493" s="21" t="s">
        <v>160</v>
      </c>
      <c r="E493" s="22" t="n">
        <v>18.49</v>
      </c>
      <c r="F493" s="22" t="n">
        <v>29.9</v>
      </c>
      <c r="G493" s="23" t="n">
        <v>454</v>
      </c>
      <c r="H493" s="23" t="n">
        <v>264</v>
      </c>
      <c r="I493" s="23" t="n">
        <f aca="false">G493-H493</f>
        <v>190</v>
      </c>
      <c r="J493" s="21" t="str">
        <f aca="false">IF(I493&lt;50,"LOW-IN-STOCK","IN-STOCK")</f>
        <v>IN-STOCK</v>
      </c>
      <c r="K493" s="22" t="n">
        <f aca="false">E493*G493</f>
        <v>8394.46</v>
      </c>
      <c r="L493" s="22" t="n">
        <f aca="false">F493*H493</f>
        <v>7893.6</v>
      </c>
      <c r="M493" s="22" t="n">
        <f aca="false">L493-K493</f>
        <v>-500.86</v>
      </c>
    </row>
    <row r="494" customFormat="false" ht="15" hidden="false" customHeight="false" outlineLevel="0" collapsed="false">
      <c r="A494" s="21" t="s">
        <v>663</v>
      </c>
      <c r="B494" s="21" t="s">
        <v>243</v>
      </c>
      <c r="C494" s="21" t="s">
        <v>113</v>
      </c>
      <c r="D494" s="21" t="s">
        <v>108</v>
      </c>
      <c r="E494" s="22" t="n">
        <v>23.67</v>
      </c>
      <c r="F494" s="22" t="n">
        <v>50.63</v>
      </c>
      <c r="G494" s="23" t="n">
        <v>387</v>
      </c>
      <c r="H494" s="23" t="n">
        <v>238</v>
      </c>
      <c r="I494" s="23" t="n">
        <f aca="false">G494-H494</f>
        <v>149</v>
      </c>
      <c r="J494" s="21" t="str">
        <f aca="false">IF(I494&lt;50,"LOW-IN-STOCK","IN-STOCK")</f>
        <v>IN-STOCK</v>
      </c>
      <c r="K494" s="22" t="n">
        <f aca="false">E494*G494</f>
        <v>9160.29</v>
      </c>
      <c r="L494" s="22" t="n">
        <f aca="false">F494*H494</f>
        <v>12049.94</v>
      </c>
      <c r="M494" s="22" t="n">
        <f aca="false">L494-K494</f>
        <v>2889.65</v>
      </c>
    </row>
    <row r="495" customFormat="false" ht="15" hidden="false" customHeight="false" outlineLevel="0" collapsed="false">
      <c r="A495" s="21" t="s">
        <v>664</v>
      </c>
      <c r="B495" s="21" t="s">
        <v>157</v>
      </c>
      <c r="C495" s="21" t="s">
        <v>113</v>
      </c>
      <c r="D495" s="21" t="s">
        <v>102</v>
      </c>
      <c r="E495" s="22" t="n">
        <v>19.18</v>
      </c>
      <c r="F495" s="22" t="n">
        <v>39.85</v>
      </c>
      <c r="G495" s="23" t="n">
        <v>57</v>
      </c>
      <c r="H495" s="23" t="n">
        <v>45</v>
      </c>
      <c r="I495" s="23" t="n">
        <f aca="false">G495-H495</f>
        <v>12</v>
      </c>
      <c r="J495" s="21" t="str">
        <f aca="false">IF(I495&lt;50,"LOW-IN-STOCK","IN-STOCK")</f>
        <v>LOW-IN-STOCK</v>
      </c>
      <c r="K495" s="22" t="n">
        <f aca="false">E495*G495</f>
        <v>1093.26</v>
      </c>
      <c r="L495" s="22" t="n">
        <f aca="false">F495*H495</f>
        <v>1793.25</v>
      </c>
      <c r="M495" s="22" t="n">
        <f aca="false">L495-K495</f>
        <v>699.99</v>
      </c>
    </row>
    <row r="496" customFormat="false" ht="15" hidden="false" customHeight="false" outlineLevel="0" collapsed="false">
      <c r="A496" s="21" t="s">
        <v>665</v>
      </c>
      <c r="B496" s="21" t="s">
        <v>184</v>
      </c>
      <c r="C496" s="21" t="s">
        <v>148</v>
      </c>
      <c r="D496" s="21" t="s">
        <v>76</v>
      </c>
      <c r="E496" s="22" t="n">
        <v>60.48</v>
      </c>
      <c r="F496" s="22" t="n">
        <v>94.34</v>
      </c>
      <c r="G496" s="23" t="n">
        <v>288</v>
      </c>
      <c r="H496" s="23" t="n">
        <v>167</v>
      </c>
      <c r="I496" s="23" t="n">
        <f aca="false">G496-H496</f>
        <v>121</v>
      </c>
      <c r="J496" s="21" t="str">
        <f aca="false">IF(I496&lt;50,"LOW-IN-STOCK","IN-STOCK")</f>
        <v>IN-STOCK</v>
      </c>
      <c r="K496" s="22" t="n">
        <f aca="false">E496*G496</f>
        <v>17418.24</v>
      </c>
      <c r="L496" s="22" t="n">
        <f aca="false">F496*H496</f>
        <v>15754.78</v>
      </c>
      <c r="M496" s="22" t="n">
        <f aca="false">L496-K496</f>
        <v>-1663.46</v>
      </c>
    </row>
    <row r="497" customFormat="false" ht="15" hidden="false" customHeight="false" outlineLevel="0" collapsed="false">
      <c r="A497" s="21" t="s">
        <v>666</v>
      </c>
      <c r="B497" s="21" t="s">
        <v>176</v>
      </c>
      <c r="C497" s="21" t="s">
        <v>83</v>
      </c>
      <c r="D497" s="21" t="s">
        <v>84</v>
      </c>
      <c r="E497" s="22" t="n">
        <v>11.94</v>
      </c>
      <c r="F497" s="22" t="n">
        <v>20.54</v>
      </c>
      <c r="G497" s="23" t="n">
        <v>480</v>
      </c>
      <c r="H497" s="23" t="n">
        <v>364</v>
      </c>
      <c r="I497" s="23" t="n">
        <f aca="false">G497-H497</f>
        <v>116</v>
      </c>
      <c r="J497" s="21" t="str">
        <f aca="false">IF(I497&lt;50,"LOW-IN-STOCK","IN-STOCK")</f>
        <v>IN-STOCK</v>
      </c>
      <c r="K497" s="22" t="n">
        <f aca="false">E497*G497</f>
        <v>5731.2</v>
      </c>
      <c r="L497" s="22" t="n">
        <f aca="false">F497*H497</f>
        <v>7476.56</v>
      </c>
      <c r="M497" s="22" t="n">
        <f aca="false">L497-K497</f>
        <v>1745.36</v>
      </c>
    </row>
    <row r="498" customFormat="false" ht="15" hidden="false" customHeight="false" outlineLevel="0" collapsed="false">
      <c r="A498" s="21" t="s">
        <v>667</v>
      </c>
      <c r="B498" s="21" t="s">
        <v>224</v>
      </c>
      <c r="C498" s="21" t="s">
        <v>79</v>
      </c>
      <c r="D498" s="21" t="s">
        <v>108</v>
      </c>
      <c r="E498" s="22" t="n">
        <v>8.77</v>
      </c>
      <c r="F498" s="22" t="n">
        <v>16.41</v>
      </c>
      <c r="G498" s="23" t="n">
        <v>96</v>
      </c>
      <c r="H498" s="23" t="n">
        <v>20</v>
      </c>
      <c r="I498" s="23" t="n">
        <f aca="false">G498-H498</f>
        <v>76</v>
      </c>
      <c r="J498" s="21" t="str">
        <f aca="false">IF(I498&lt;50,"LOW-IN-STOCK","IN-STOCK")</f>
        <v>IN-STOCK</v>
      </c>
      <c r="K498" s="22" t="n">
        <f aca="false">E498*G498</f>
        <v>841.92</v>
      </c>
      <c r="L498" s="22" t="n">
        <f aca="false">F498*H498</f>
        <v>328.2</v>
      </c>
      <c r="M498" s="22" t="n">
        <f aca="false">L498-K498</f>
        <v>-513.72</v>
      </c>
    </row>
    <row r="499" customFormat="false" ht="15" hidden="false" customHeight="false" outlineLevel="0" collapsed="false">
      <c r="A499" s="21" t="s">
        <v>668</v>
      </c>
      <c r="B499" s="21" t="s">
        <v>308</v>
      </c>
      <c r="C499" s="21" t="s">
        <v>87</v>
      </c>
      <c r="D499" s="21" t="s">
        <v>99</v>
      </c>
      <c r="E499" s="22" t="n">
        <v>21.38</v>
      </c>
      <c r="F499" s="22" t="n">
        <v>30.98</v>
      </c>
      <c r="G499" s="23" t="n">
        <v>176</v>
      </c>
      <c r="H499" s="23" t="n">
        <v>42</v>
      </c>
      <c r="I499" s="23" t="n">
        <f aca="false">G499-H499</f>
        <v>134</v>
      </c>
      <c r="J499" s="21" t="str">
        <f aca="false">IF(I499&lt;50,"LOW-IN-STOCK","IN-STOCK")</f>
        <v>IN-STOCK</v>
      </c>
      <c r="K499" s="22" t="n">
        <f aca="false">E499*G499</f>
        <v>3762.88</v>
      </c>
      <c r="L499" s="22" t="n">
        <f aca="false">F499*H499</f>
        <v>1301.16</v>
      </c>
      <c r="M499" s="22" t="n">
        <f aca="false">L499-K499</f>
        <v>-2461.72</v>
      </c>
    </row>
    <row r="500" customFormat="false" ht="15" hidden="false" customHeight="false" outlineLevel="0" collapsed="false">
      <c r="A500" s="21" t="s">
        <v>669</v>
      </c>
      <c r="B500" s="21" t="s">
        <v>209</v>
      </c>
      <c r="C500" s="21" t="s">
        <v>107</v>
      </c>
      <c r="D500" s="21" t="s">
        <v>84</v>
      </c>
      <c r="E500" s="22" t="n">
        <v>10.76</v>
      </c>
      <c r="F500" s="22" t="n">
        <v>14.5</v>
      </c>
      <c r="G500" s="23" t="n">
        <v>85</v>
      </c>
      <c r="H500" s="23" t="n">
        <v>18</v>
      </c>
      <c r="I500" s="23" t="n">
        <f aca="false">G500-H500</f>
        <v>67</v>
      </c>
      <c r="J500" s="21" t="str">
        <f aca="false">IF(I500&lt;50,"LOW-IN-STOCK","IN-STOCK")</f>
        <v>IN-STOCK</v>
      </c>
      <c r="K500" s="22" t="n">
        <f aca="false">E500*G500</f>
        <v>914.6</v>
      </c>
      <c r="L500" s="22" t="n">
        <f aca="false">F500*H500</f>
        <v>261</v>
      </c>
      <c r="M500" s="22" t="n">
        <f aca="false">L500-K500</f>
        <v>-653.6</v>
      </c>
    </row>
    <row r="501" customFormat="false" ht="15" hidden="false" customHeight="false" outlineLevel="0" collapsed="false">
      <c r="A501" s="21" t="s">
        <v>670</v>
      </c>
      <c r="B501" s="21" t="s">
        <v>239</v>
      </c>
      <c r="C501" s="21" t="s">
        <v>113</v>
      </c>
      <c r="D501" s="21" t="s">
        <v>114</v>
      </c>
      <c r="E501" s="22" t="n">
        <v>19.44</v>
      </c>
      <c r="F501" s="22" t="n">
        <v>37.51</v>
      </c>
      <c r="G501" s="23" t="n">
        <v>49</v>
      </c>
      <c r="H501" s="23" t="n">
        <v>32</v>
      </c>
      <c r="I501" s="23" t="n">
        <f aca="false">G501-H501</f>
        <v>17</v>
      </c>
      <c r="J501" s="21" t="str">
        <f aca="false">IF(I501&lt;50,"LOW-IN-STOCK","IN-STOCK")</f>
        <v>LOW-IN-STOCK</v>
      </c>
      <c r="K501" s="22" t="n">
        <f aca="false">E501*G501</f>
        <v>952.56</v>
      </c>
      <c r="L501" s="22" t="n">
        <f aca="false">F501*H501</f>
        <v>1200.32</v>
      </c>
      <c r="M501" s="22" t="n">
        <f aca="false">L501-K501</f>
        <v>247.76</v>
      </c>
    </row>
    <row r="502" customFormat="false" ht="15" hidden="false" customHeight="false" outlineLevel="0" collapsed="false">
      <c r="A502" s="21" t="s">
        <v>671</v>
      </c>
      <c r="B502" s="21" t="s">
        <v>289</v>
      </c>
      <c r="C502" s="21" t="s">
        <v>148</v>
      </c>
      <c r="D502" s="21" t="s">
        <v>99</v>
      </c>
      <c r="E502" s="22" t="n">
        <v>52.59</v>
      </c>
      <c r="F502" s="22" t="n">
        <v>69.39</v>
      </c>
      <c r="G502" s="23" t="n">
        <v>359</v>
      </c>
      <c r="H502" s="23" t="n">
        <v>113</v>
      </c>
      <c r="I502" s="23" t="n">
        <f aca="false">G502-H502</f>
        <v>246</v>
      </c>
      <c r="J502" s="21" t="str">
        <f aca="false">IF(I502&lt;50,"LOW-IN-STOCK","IN-STOCK")</f>
        <v>IN-STOCK</v>
      </c>
      <c r="K502" s="22" t="n">
        <f aca="false">E502*G502</f>
        <v>18879.81</v>
      </c>
      <c r="L502" s="22" t="n">
        <f aca="false">F502*H502</f>
        <v>7841.07</v>
      </c>
      <c r="M502" s="22" t="n">
        <f aca="false">L502-K502</f>
        <v>-11038.74</v>
      </c>
    </row>
    <row r="503" customFormat="false" ht="15" hidden="false" customHeight="false" outlineLevel="0" collapsed="false">
      <c r="A503" s="21" t="s">
        <v>672</v>
      </c>
      <c r="B503" s="21" t="s">
        <v>195</v>
      </c>
      <c r="C503" s="21" t="s">
        <v>79</v>
      </c>
      <c r="D503" s="21" t="s">
        <v>102</v>
      </c>
      <c r="E503" s="22" t="n">
        <v>9.88</v>
      </c>
      <c r="F503" s="22" t="n">
        <v>20.52</v>
      </c>
      <c r="G503" s="23" t="n">
        <v>128</v>
      </c>
      <c r="H503" s="23" t="n">
        <v>82</v>
      </c>
      <c r="I503" s="23" t="n">
        <f aca="false">G503-H503</f>
        <v>46</v>
      </c>
      <c r="J503" s="21" t="str">
        <f aca="false">IF(I503&lt;50,"LOW-IN-STOCK","IN-STOCK")</f>
        <v>LOW-IN-STOCK</v>
      </c>
      <c r="K503" s="22" t="n">
        <f aca="false">E503*G503</f>
        <v>1264.64</v>
      </c>
      <c r="L503" s="22" t="n">
        <f aca="false">F503*H503</f>
        <v>1682.64</v>
      </c>
      <c r="M503" s="22" t="n">
        <f aca="false">L503-K503</f>
        <v>418</v>
      </c>
    </row>
    <row r="504" customFormat="false" ht="15" hidden="false" customHeight="false" outlineLevel="0" collapsed="false">
      <c r="A504" s="21" t="s">
        <v>673</v>
      </c>
      <c r="B504" s="21" t="s">
        <v>209</v>
      </c>
      <c r="C504" s="21" t="s">
        <v>107</v>
      </c>
      <c r="D504" s="21" t="s">
        <v>76</v>
      </c>
      <c r="E504" s="22" t="n">
        <v>10.61</v>
      </c>
      <c r="F504" s="22" t="n">
        <v>20.74</v>
      </c>
      <c r="G504" s="23" t="n">
        <v>397</v>
      </c>
      <c r="H504" s="23" t="n">
        <v>318</v>
      </c>
      <c r="I504" s="23" t="n">
        <f aca="false">G504-H504</f>
        <v>79</v>
      </c>
      <c r="J504" s="21" t="str">
        <f aca="false">IF(I504&lt;50,"LOW-IN-STOCK","IN-STOCK")</f>
        <v>IN-STOCK</v>
      </c>
      <c r="K504" s="22" t="n">
        <f aca="false">E504*G504</f>
        <v>4212.17</v>
      </c>
      <c r="L504" s="22" t="n">
        <f aca="false">F504*H504</f>
        <v>6595.32</v>
      </c>
      <c r="M504" s="22" t="n">
        <f aca="false">L504-K504</f>
        <v>2383.15</v>
      </c>
    </row>
    <row r="505" customFormat="false" ht="15" hidden="false" customHeight="false" outlineLevel="0" collapsed="false">
      <c r="A505" s="21" t="s">
        <v>674</v>
      </c>
      <c r="B505" s="21" t="s">
        <v>74</v>
      </c>
      <c r="C505" s="21" t="s">
        <v>75</v>
      </c>
      <c r="D505" s="21" t="s">
        <v>114</v>
      </c>
      <c r="E505" s="22" t="n">
        <v>17.5</v>
      </c>
      <c r="F505" s="22" t="n">
        <v>35.59</v>
      </c>
      <c r="G505" s="23" t="n">
        <v>72</v>
      </c>
      <c r="H505" s="23" t="n">
        <v>12</v>
      </c>
      <c r="I505" s="23" t="n">
        <f aca="false">G505-H505</f>
        <v>60</v>
      </c>
      <c r="J505" s="21" t="str">
        <f aca="false">IF(I505&lt;50,"LOW-IN-STOCK","IN-STOCK")</f>
        <v>IN-STOCK</v>
      </c>
      <c r="K505" s="22" t="n">
        <f aca="false">E505*G505</f>
        <v>1260</v>
      </c>
      <c r="L505" s="22" t="n">
        <f aca="false">F505*H505</f>
        <v>427.08</v>
      </c>
      <c r="M505" s="22" t="n">
        <f aca="false">L505-K505</f>
        <v>-832.92</v>
      </c>
    </row>
    <row r="506" customFormat="false" ht="15" hidden="false" customHeight="false" outlineLevel="0" collapsed="false">
      <c r="A506" s="21" t="s">
        <v>675</v>
      </c>
      <c r="B506" s="21" t="s">
        <v>147</v>
      </c>
      <c r="C506" s="21" t="s">
        <v>148</v>
      </c>
      <c r="D506" s="21" t="s">
        <v>99</v>
      </c>
      <c r="E506" s="22" t="n">
        <v>32.74</v>
      </c>
      <c r="F506" s="22" t="n">
        <v>53.72</v>
      </c>
      <c r="G506" s="23" t="n">
        <v>49</v>
      </c>
      <c r="H506" s="23" t="n">
        <v>31</v>
      </c>
      <c r="I506" s="23" t="n">
        <f aca="false">G506-H506</f>
        <v>18</v>
      </c>
      <c r="J506" s="21" t="str">
        <f aca="false">IF(I506&lt;50,"LOW-IN-STOCK","IN-STOCK")</f>
        <v>LOW-IN-STOCK</v>
      </c>
      <c r="K506" s="22" t="n">
        <f aca="false">E506*G506</f>
        <v>1604.26</v>
      </c>
      <c r="L506" s="22" t="n">
        <f aca="false">F506*H506</f>
        <v>1665.32</v>
      </c>
      <c r="M506" s="22" t="n">
        <f aca="false">L506-K506</f>
        <v>61.0599999999999</v>
      </c>
    </row>
    <row r="507" customFormat="false" ht="15" hidden="false" customHeight="false" outlineLevel="0" collapsed="false">
      <c r="A507" s="21" t="s">
        <v>676</v>
      </c>
      <c r="B507" s="21" t="s">
        <v>211</v>
      </c>
      <c r="C507" s="21" t="s">
        <v>113</v>
      </c>
      <c r="D507" s="21" t="s">
        <v>76</v>
      </c>
      <c r="E507" s="22" t="n">
        <v>31.35</v>
      </c>
      <c r="F507" s="22" t="n">
        <v>51.74</v>
      </c>
      <c r="G507" s="23" t="n">
        <v>167</v>
      </c>
      <c r="H507" s="23" t="n">
        <v>62</v>
      </c>
      <c r="I507" s="23" t="n">
        <f aca="false">G507-H507</f>
        <v>105</v>
      </c>
      <c r="J507" s="21" t="str">
        <f aca="false">IF(I507&lt;50,"LOW-IN-STOCK","IN-STOCK")</f>
        <v>IN-STOCK</v>
      </c>
      <c r="K507" s="22" t="n">
        <f aca="false">E507*G507</f>
        <v>5235.45</v>
      </c>
      <c r="L507" s="22" t="n">
        <f aca="false">F507*H507</f>
        <v>3207.88</v>
      </c>
      <c r="M507" s="22" t="n">
        <f aca="false">L507-K507</f>
        <v>-2027.57</v>
      </c>
    </row>
    <row r="508" customFormat="false" ht="15" hidden="false" customHeight="false" outlineLevel="0" collapsed="false">
      <c r="A508" s="21" t="s">
        <v>677</v>
      </c>
      <c r="B508" s="21" t="s">
        <v>136</v>
      </c>
      <c r="C508" s="21" t="s">
        <v>87</v>
      </c>
      <c r="D508" s="21" t="s">
        <v>76</v>
      </c>
      <c r="E508" s="22" t="n">
        <v>21.14</v>
      </c>
      <c r="F508" s="22" t="n">
        <v>37.26</v>
      </c>
      <c r="G508" s="23" t="n">
        <v>41</v>
      </c>
      <c r="H508" s="23" t="n">
        <v>31</v>
      </c>
      <c r="I508" s="23" t="n">
        <f aca="false">G508-H508</f>
        <v>10</v>
      </c>
      <c r="J508" s="21" t="str">
        <f aca="false">IF(I508&lt;50,"LOW-IN-STOCK","IN-STOCK")</f>
        <v>LOW-IN-STOCK</v>
      </c>
      <c r="K508" s="22" t="n">
        <f aca="false">E508*G508</f>
        <v>866.74</v>
      </c>
      <c r="L508" s="22" t="n">
        <f aca="false">F508*H508</f>
        <v>1155.06</v>
      </c>
      <c r="M508" s="22" t="n">
        <f aca="false">L508-K508</f>
        <v>288.32</v>
      </c>
    </row>
    <row r="509" customFormat="false" ht="15" hidden="false" customHeight="false" outlineLevel="0" collapsed="false">
      <c r="A509" s="21" t="s">
        <v>678</v>
      </c>
      <c r="B509" s="21" t="s">
        <v>297</v>
      </c>
      <c r="C509" s="21" t="s">
        <v>107</v>
      </c>
      <c r="D509" s="21" t="s">
        <v>114</v>
      </c>
      <c r="E509" s="22" t="n">
        <v>7.19</v>
      </c>
      <c r="F509" s="22" t="n">
        <v>11.99</v>
      </c>
      <c r="G509" s="23" t="n">
        <v>389</v>
      </c>
      <c r="H509" s="23" t="n">
        <v>327</v>
      </c>
      <c r="I509" s="23" t="n">
        <f aca="false">G509-H509</f>
        <v>62</v>
      </c>
      <c r="J509" s="21" t="str">
        <f aca="false">IF(I509&lt;50,"LOW-IN-STOCK","IN-STOCK")</f>
        <v>IN-STOCK</v>
      </c>
      <c r="K509" s="22" t="n">
        <f aca="false">E509*G509</f>
        <v>2796.91</v>
      </c>
      <c r="L509" s="22" t="n">
        <f aca="false">F509*H509</f>
        <v>3920.73</v>
      </c>
      <c r="M509" s="22" t="n">
        <f aca="false">L509-K509</f>
        <v>1123.82</v>
      </c>
    </row>
    <row r="510" customFormat="false" ht="15" hidden="false" customHeight="false" outlineLevel="0" collapsed="false">
      <c r="A510" s="21" t="s">
        <v>679</v>
      </c>
      <c r="B510" s="21" t="s">
        <v>86</v>
      </c>
      <c r="C510" s="21" t="s">
        <v>87</v>
      </c>
      <c r="D510" s="21" t="s">
        <v>160</v>
      </c>
      <c r="E510" s="22" t="n">
        <v>9.41</v>
      </c>
      <c r="F510" s="22" t="n">
        <v>14.94</v>
      </c>
      <c r="G510" s="23" t="n">
        <v>87</v>
      </c>
      <c r="H510" s="23" t="n">
        <v>40</v>
      </c>
      <c r="I510" s="23" t="n">
        <f aca="false">G510-H510</f>
        <v>47</v>
      </c>
      <c r="J510" s="21" t="str">
        <f aca="false">IF(I510&lt;50,"LOW-IN-STOCK","IN-STOCK")</f>
        <v>LOW-IN-STOCK</v>
      </c>
      <c r="K510" s="22" t="n">
        <f aca="false">E510*G510</f>
        <v>818.67</v>
      </c>
      <c r="L510" s="22" t="n">
        <f aca="false">F510*H510</f>
        <v>597.6</v>
      </c>
      <c r="M510" s="22" t="n">
        <f aca="false">L510-K510</f>
        <v>-221.07</v>
      </c>
    </row>
    <row r="511" customFormat="false" ht="15" hidden="false" customHeight="false" outlineLevel="0" collapsed="false">
      <c r="A511" s="21" t="s">
        <v>680</v>
      </c>
      <c r="B511" s="21" t="s">
        <v>92</v>
      </c>
      <c r="C511" s="21" t="s">
        <v>93</v>
      </c>
      <c r="D511" s="21" t="s">
        <v>88</v>
      </c>
      <c r="E511" s="22" t="n">
        <v>9.22</v>
      </c>
      <c r="F511" s="22" t="n">
        <v>11.99</v>
      </c>
      <c r="G511" s="23" t="n">
        <v>438</v>
      </c>
      <c r="H511" s="23" t="n">
        <v>140</v>
      </c>
      <c r="I511" s="23" t="n">
        <f aca="false">G511-H511</f>
        <v>298</v>
      </c>
      <c r="J511" s="21" t="str">
        <f aca="false">IF(I511&lt;50,"LOW-IN-STOCK","IN-STOCK")</f>
        <v>IN-STOCK</v>
      </c>
      <c r="K511" s="22" t="n">
        <f aca="false">E511*G511</f>
        <v>4038.36</v>
      </c>
      <c r="L511" s="22" t="n">
        <f aca="false">F511*H511</f>
        <v>1678.6</v>
      </c>
      <c r="M511" s="22" t="n">
        <f aca="false">L511-K511</f>
        <v>-2359.76</v>
      </c>
    </row>
    <row r="512" customFormat="false" ht="15" hidden="false" customHeight="false" outlineLevel="0" collapsed="false">
      <c r="A512" s="21" t="s">
        <v>681</v>
      </c>
      <c r="B512" s="21" t="s">
        <v>141</v>
      </c>
      <c r="C512" s="21" t="s">
        <v>107</v>
      </c>
      <c r="D512" s="21" t="s">
        <v>160</v>
      </c>
      <c r="E512" s="22" t="n">
        <v>13.11</v>
      </c>
      <c r="F512" s="22" t="n">
        <v>28.13</v>
      </c>
      <c r="G512" s="23" t="n">
        <v>360</v>
      </c>
      <c r="H512" s="23" t="n">
        <v>231</v>
      </c>
      <c r="I512" s="23" t="n">
        <f aca="false">G512-H512</f>
        <v>129</v>
      </c>
      <c r="J512" s="21" t="str">
        <f aca="false">IF(I512&lt;50,"LOW-IN-STOCK","IN-STOCK")</f>
        <v>IN-STOCK</v>
      </c>
      <c r="K512" s="22" t="n">
        <f aca="false">E512*G512</f>
        <v>4719.6</v>
      </c>
      <c r="L512" s="22" t="n">
        <f aca="false">F512*H512</f>
        <v>6498.03</v>
      </c>
      <c r="M512" s="22" t="n">
        <f aca="false">L512-K512</f>
        <v>1778.43</v>
      </c>
    </row>
    <row r="513" customFormat="false" ht="15" hidden="false" customHeight="false" outlineLevel="0" collapsed="false">
      <c r="A513" s="21" t="s">
        <v>682</v>
      </c>
      <c r="B513" s="21" t="s">
        <v>246</v>
      </c>
      <c r="C513" s="21" t="s">
        <v>75</v>
      </c>
      <c r="D513" s="21" t="s">
        <v>88</v>
      </c>
      <c r="E513" s="22" t="n">
        <v>7.65</v>
      </c>
      <c r="F513" s="22" t="n">
        <v>16.16</v>
      </c>
      <c r="G513" s="23" t="n">
        <v>246</v>
      </c>
      <c r="H513" s="23" t="n">
        <v>193</v>
      </c>
      <c r="I513" s="23" t="n">
        <f aca="false">G513-H513</f>
        <v>53</v>
      </c>
      <c r="J513" s="21" t="str">
        <f aca="false">IF(I513&lt;50,"LOW-IN-STOCK","IN-STOCK")</f>
        <v>IN-STOCK</v>
      </c>
      <c r="K513" s="22" t="n">
        <f aca="false">E513*G513</f>
        <v>1881.9</v>
      </c>
      <c r="L513" s="22" t="n">
        <f aca="false">F513*H513</f>
        <v>3118.88</v>
      </c>
      <c r="M513" s="22" t="n">
        <f aca="false">L513-K513</f>
        <v>1236.98</v>
      </c>
    </row>
    <row r="514" customFormat="false" ht="15" hidden="false" customHeight="false" outlineLevel="0" collapsed="false">
      <c r="A514" s="21" t="s">
        <v>683</v>
      </c>
      <c r="B514" s="21" t="s">
        <v>280</v>
      </c>
      <c r="C514" s="21" t="s">
        <v>83</v>
      </c>
      <c r="D514" s="21" t="s">
        <v>84</v>
      </c>
      <c r="E514" s="22" t="n">
        <v>19.69</v>
      </c>
      <c r="F514" s="22" t="n">
        <v>39.54</v>
      </c>
      <c r="G514" s="23" t="n">
        <v>81</v>
      </c>
      <c r="H514" s="23" t="n">
        <v>21</v>
      </c>
      <c r="I514" s="23" t="n">
        <f aca="false">G514-H514</f>
        <v>60</v>
      </c>
      <c r="J514" s="21" t="str">
        <f aca="false">IF(I514&lt;50,"LOW-IN-STOCK","IN-STOCK")</f>
        <v>IN-STOCK</v>
      </c>
      <c r="K514" s="22" t="n">
        <f aca="false">E514*G514</f>
        <v>1594.89</v>
      </c>
      <c r="L514" s="22" t="n">
        <f aca="false">F514*H514</f>
        <v>830.34</v>
      </c>
      <c r="M514" s="22" t="n">
        <f aca="false">L514-K514</f>
        <v>-764.55</v>
      </c>
    </row>
    <row r="515" customFormat="false" ht="15" hidden="false" customHeight="false" outlineLevel="0" collapsed="false">
      <c r="A515" s="21" t="s">
        <v>684</v>
      </c>
      <c r="B515" s="21" t="s">
        <v>359</v>
      </c>
      <c r="C515" s="21" t="s">
        <v>75</v>
      </c>
      <c r="D515" s="21" t="s">
        <v>76</v>
      </c>
      <c r="E515" s="22" t="n">
        <v>26.12</v>
      </c>
      <c r="F515" s="22" t="n">
        <v>52.38</v>
      </c>
      <c r="G515" s="23" t="n">
        <v>488</v>
      </c>
      <c r="H515" s="23" t="n">
        <v>239</v>
      </c>
      <c r="I515" s="23" t="n">
        <f aca="false">G515-H515</f>
        <v>249</v>
      </c>
      <c r="J515" s="21" t="str">
        <f aca="false">IF(I515&lt;50,"LOW-IN-STOCK","IN-STOCK")</f>
        <v>IN-STOCK</v>
      </c>
      <c r="K515" s="22" t="n">
        <f aca="false">E515*G515</f>
        <v>12746.56</v>
      </c>
      <c r="L515" s="22" t="n">
        <f aca="false">F515*H515</f>
        <v>12518.82</v>
      </c>
      <c r="M515" s="22" t="n">
        <f aca="false">L515-K515</f>
        <v>-227.740000000002</v>
      </c>
    </row>
    <row r="516" customFormat="false" ht="15" hidden="false" customHeight="false" outlineLevel="0" collapsed="false">
      <c r="A516" s="21" t="s">
        <v>685</v>
      </c>
      <c r="B516" s="21" t="s">
        <v>191</v>
      </c>
      <c r="C516" s="21" t="s">
        <v>148</v>
      </c>
      <c r="D516" s="21" t="s">
        <v>88</v>
      </c>
      <c r="E516" s="22" t="n">
        <v>18.88</v>
      </c>
      <c r="F516" s="22" t="n">
        <v>39.15</v>
      </c>
      <c r="G516" s="23" t="n">
        <v>428</v>
      </c>
      <c r="H516" s="23" t="n">
        <v>190</v>
      </c>
      <c r="I516" s="23" t="n">
        <f aca="false">G516-H516</f>
        <v>238</v>
      </c>
      <c r="J516" s="21" t="str">
        <f aca="false">IF(I516&lt;50,"LOW-IN-STOCK","IN-STOCK")</f>
        <v>IN-STOCK</v>
      </c>
      <c r="K516" s="22" t="n">
        <f aca="false">E516*G516</f>
        <v>8080.64</v>
      </c>
      <c r="L516" s="22" t="n">
        <f aca="false">F516*H516</f>
        <v>7438.5</v>
      </c>
      <c r="M516" s="22" t="n">
        <f aca="false">L516-K516</f>
        <v>-642.139999999999</v>
      </c>
    </row>
    <row r="517" customFormat="false" ht="15" hidden="false" customHeight="false" outlineLevel="0" collapsed="false">
      <c r="A517" s="21" t="s">
        <v>686</v>
      </c>
      <c r="B517" s="21" t="s">
        <v>92</v>
      </c>
      <c r="C517" s="21" t="s">
        <v>93</v>
      </c>
      <c r="D517" s="21" t="s">
        <v>88</v>
      </c>
      <c r="E517" s="22" t="n">
        <v>10.84</v>
      </c>
      <c r="F517" s="22" t="n">
        <v>19.44</v>
      </c>
      <c r="G517" s="23" t="n">
        <v>215</v>
      </c>
      <c r="H517" s="23" t="n">
        <v>132</v>
      </c>
      <c r="I517" s="23" t="n">
        <f aca="false">G517-H517</f>
        <v>83</v>
      </c>
      <c r="J517" s="21" t="str">
        <f aca="false">IF(I517&lt;50,"LOW-IN-STOCK","IN-STOCK")</f>
        <v>IN-STOCK</v>
      </c>
      <c r="K517" s="22" t="n">
        <f aca="false">E517*G517</f>
        <v>2330.6</v>
      </c>
      <c r="L517" s="22" t="n">
        <f aca="false">F517*H517</f>
        <v>2566.08</v>
      </c>
      <c r="M517" s="22" t="n">
        <f aca="false">L517-K517</f>
        <v>235.48</v>
      </c>
    </row>
    <row r="518" customFormat="false" ht="15" hidden="false" customHeight="false" outlineLevel="0" collapsed="false">
      <c r="A518" s="21" t="s">
        <v>687</v>
      </c>
      <c r="B518" s="21" t="s">
        <v>136</v>
      </c>
      <c r="C518" s="21" t="s">
        <v>87</v>
      </c>
      <c r="D518" s="21" t="s">
        <v>80</v>
      </c>
      <c r="E518" s="22" t="n">
        <v>18.65</v>
      </c>
      <c r="F518" s="22" t="n">
        <v>25.09</v>
      </c>
      <c r="G518" s="23" t="n">
        <v>247</v>
      </c>
      <c r="H518" s="23" t="n">
        <v>222</v>
      </c>
      <c r="I518" s="23" t="n">
        <f aca="false">G518-H518</f>
        <v>25</v>
      </c>
      <c r="J518" s="21" t="str">
        <f aca="false">IF(I518&lt;50,"LOW-IN-STOCK","IN-STOCK")</f>
        <v>LOW-IN-STOCK</v>
      </c>
      <c r="K518" s="22" t="n">
        <f aca="false">E518*G518</f>
        <v>4606.55</v>
      </c>
      <c r="L518" s="22" t="n">
        <f aca="false">F518*H518</f>
        <v>5569.98</v>
      </c>
      <c r="M518" s="22" t="n">
        <f aca="false">L518-K518</f>
        <v>963.43</v>
      </c>
    </row>
    <row r="519" customFormat="false" ht="15" hidden="false" customHeight="false" outlineLevel="0" collapsed="false">
      <c r="A519" s="21" t="s">
        <v>688</v>
      </c>
      <c r="B519" s="21" t="s">
        <v>287</v>
      </c>
      <c r="C519" s="21" t="s">
        <v>87</v>
      </c>
      <c r="D519" s="21" t="s">
        <v>88</v>
      </c>
      <c r="E519" s="22" t="n">
        <v>5.81</v>
      </c>
      <c r="F519" s="22" t="n">
        <v>10.97</v>
      </c>
      <c r="G519" s="23" t="n">
        <v>237</v>
      </c>
      <c r="H519" s="23" t="n">
        <v>200</v>
      </c>
      <c r="I519" s="23" t="n">
        <f aca="false">G519-H519</f>
        <v>37</v>
      </c>
      <c r="J519" s="21" t="str">
        <f aca="false">IF(I519&lt;50,"LOW-IN-STOCK","IN-STOCK")</f>
        <v>LOW-IN-STOCK</v>
      </c>
      <c r="K519" s="22" t="n">
        <f aca="false">E519*G519</f>
        <v>1376.97</v>
      </c>
      <c r="L519" s="22" t="n">
        <f aca="false">F519*H519</f>
        <v>2194</v>
      </c>
      <c r="M519" s="22" t="n">
        <f aca="false">L519-K519</f>
        <v>817.03</v>
      </c>
    </row>
    <row r="520" customFormat="false" ht="15" hidden="false" customHeight="false" outlineLevel="0" collapsed="false">
      <c r="A520" s="21" t="s">
        <v>689</v>
      </c>
      <c r="B520" s="21" t="s">
        <v>191</v>
      </c>
      <c r="C520" s="21" t="s">
        <v>148</v>
      </c>
      <c r="D520" s="21" t="s">
        <v>99</v>
      </c>
      <c r="E520" s="22" t="n">
        <v>70.83</v>
      </c>
      <c r="F520" s="22" t="n">
        <v>121.38</v>
      </c>
      <c r="G520" s="23" t="n">
        <v>403</v>
      </c>
      <c r="H520" s="23" t="n">
        <v>247</v>
      </c>
      <c r="I520" s="23" t="n">
        <f aca="false">G520-H520</f>
        <v>156</v>
      </c>
      <c r="J520" s="21" t="str">
        <f aca="false">IF(I520&lt;50,"LOW-IN-STOCK","IN-STOCK")</f>
        <v>IN-STOCK</v>
      </c>
      <c r="K520" s="22" t="n">
        <f aca="false">E520*G520</f>
        <v>28544.49</v>
      </c>
      <c r="L520" s="22" t="n">
        <f aca="false">F520*H520</f>
        <v>29980.86</v>
      </c>
      <c r="M520" s="22" t="n">
        <f aca="false">L520-K520</f>
        <v>1436.37</v>
      </c>
    </row>
    <row r="521" customFormat="false" ht="15" hidden="false" customHeight="false" outlineLevel="0" collapsed="false">
      <c r="A521" s="21" t="s">
        <v>690</v>
      </c>
      <c r="B521" s="21" t="s">
        <v>213</v>
      </c>
      <c r="C521" s="21" t="s">
        <v>87</v>
      </c>
      <c r="D521" s="21" t="s">
        <v>80</v>
      </c>
      <c r="E521" s="22" t="n">
        <v>20.4</v>
      </c>
      <c r="F521" s="22" t="n">
        <v>34.29</v>
      </c>
      <c r="G521" s="23" t="n">
        <v>280</v>
      </c>
      <c r="H521" s="23" t="n">
        <v>256</v>
      </c>
      <c r="I521" s="23" t="n">
        <f aca="false">G521-H521</f>
        <v>24</v>
      </c>
      <c r="J521" s="21" t="str">
        <f aca="false">IF(I521&lt;50,"LOW-IN-STOCK","IN-STOCK")</f>
        <v>LOW-IN-STOCK</v>
      </c>
      <c r="K521" s="22" t="n">
        <f aca="false">E521*G521</f>
        <v>5712</v>
      </c>
      <c r="L521" s="22" t="n">
        <f aca="false">F521*H521</f>
        <v>8778.24</v>
      </c>
      <c r="M521" s="22" t="n">
        <f aca="false">L521-K521</f>
        <v>3066.24</v>
      </c>
    </row>
    <row r="522" customFormat="false" ht="15" hidden="false" customHeight="false" outlineLevel="0" collapsed="false">
      <c r="A522" s="21" t="s">
        <v>691</v>
      </c>
      <c r="B522" s="21" t="s">
        <v>481</v>
      </c>
      <c r="C522" s="21" t="s">
        <v>93</v>
      </c>
      <c r="D522" s="21" t="s">
        <v>80</v>
      </c>
      <c r="E522" s="22" t="n">
        <v>9.43</v>
      </c>
      <c r="F522" s="22" t="n">
        <v>18.27</v>
      </c>
      <c r="G522" s="23" t="n">
        <v>448</v>
      </c>
      <c r="H522" s="23" t="n">
        <v>110</v>
      </c>
      <c r="I522" s="23" t="n">
        <f aca="false">G522-H522</f>
        <v>338</v>
      </c>
      <c r="J522" s="21" t="str">
        <f aca="false">IF(I522&lt;50,"LOW-IN-STOCK","IN-STOCK")</f>
        <v>IN-STOCK</v>
      </c>
      <c r="K522" s="22" t="n">
        <f aca="false">E522*G522</f>
        <v>4224.64</v>
      </c>
      <c r="L522" s="22" t="n">
        <f aca="false">F522*H522</f>
        <v>2009.7</v>
      </c>
      <c r="M522" s="22" t="n">
        <f aca="false">L522-K522</f>
        <v>-2214.94</v>
      </c>
    </row>
    <row r="523" customFormat="false" ht="15" hidden="false" customHeight="false" outlineLevel="0" collapsed="false">
      <c r="A523" s="21" t="s">
        <v>692</v>
      </c>
      <c r="B523" s="21" t="s">
        <v>141</v>
      </c>
      <c r="C523" s="21" t="s">
        <v>107</v>
      </c>
      <c r="D523" s="21" t="s">
        <v>102</v>
      </c>
      <c r="E523" s="22" t="n">
        <v>11.25</v>
      </c>
      <c r="F523" s="22" t="n">
        <v>18.21</v>
      </c>
      <c r="G523" s="23" t="n">
        <v>450</v>
      </c>
      <c r="H523" s="23" t="n">
        <v>204</v>
      </c>
      <c r="I523" s="23" t="n">
        <f aca="false">G523-H523</f>
        <v>246</v>
      </c>
      <c r="J523" s="21" t="str">
        <f aca="false">IF(I523&lt;50,"LOW-IN-STOCK","IN-STOCK")</f>
        <v>IN-STOCK</v>
      </c>
      <c r="K523" s="22" t="n">
        <f aca="false">E523*G523</f>
        <v>5062.5</v>
      </c>
      <c r="L523" s="22" t="n">
        <f aca="false">F523*H523</f>
        <v>3714.84</v>
      </c>
      <c r="M523" s="22" t="n">
        <f aca="false">L523-K523</f>
        <v>-1347.66</v>
      </c>
    </row>
    <row r="524" customFormat="false" ht="15" hidden="false" customHeight="false" outlineLevel="0" collapsed="false">
      <c r="A524" s="21" t="s">
        <v>693</v>
      </c>
      <c r="B524" s="21" t="s">
        <v>224</v>
      </c>
      <c r="C524" s="21" t="s">
        <v>79</v>
      </c>
      <c r="D524" s="21" t="s">
        <v>80</v>
      </c>
      <c r="E524" s="22" t="n">
        <v>11.87</v>
      </c>
      <c r="F524" s="22" t="n">
        <v>18.11</v>
      </c>
      <c r="G524" s="23" t="n">
        <v>92</v>
      </c>
      <c r="H524" s="23" t="n">
        <v>24</v>
      </c>
      <c r="I524" s="23" t="n">
        <f aca="false">G524-H524</f>
        <v>68</v>
      </c>
      <c r="J524" s="21" t="str">
        <f aca="false">IF(I524&lt;50,"LOW-IN-STOCK","IN-STOCK")</f>
        <v>IN-STOCK</v>
      </c>
      <c r="K524" s="22" t="n">
        <f aca="false">E524*G524</f>
        <v>1092.04</v>
      </c>
      <c r="L524" s="22" t="n">
        <f aca="false">F524*H524</f>
        <v>434.64</v>
      </c>
      <c r="M524" s="22" t="n">
        <f aca="false">L524-K524</f>
        <v>-657.4</v>
      </c>
    </row>
    <row r="525" customFormat="false" ht="15" hidden="false" customHeight="false" outlineLevel="0" collapsed="false">
      <c r="A525" s="21" t="s">
        <v>694</v>
      </c>
      <c r="B525" s="21" t="s">
        <v>481</v>
      </c>
      <c r="C525" s="21" t="s">
        <v>93</v>
      </c>
      <c r="D525" s="21" t="s">
        <v>160</v>
      </c>
      <c r="E525" s="22" t="n">
        <v>4.52</v>
      </c>
      <c r="F525" s="22" t="n">
        <v>7.64</v>
      </c>
      <c r="G525" s="23" t="n">
        <v>308</v>
      </c>
      <c r="H525" s="23" t="n">
        <v>160</v>
      </c>
      <c r="I525" s="23" t="n">
        <f aca="false">G525-H525</f>
        <v>148</v>
      </c>
      <c r="J525" s="21" t="str">
        <f aca="false">IF(I525&lt;50,"LOW-IN-STOCK","IN-STOCK")</f>
        <v>IN-STOCK</v>
      </c>
      <c r="K525" s="22" t="n">
        <f aca="false">E525*G525</f>
        <v>1392.16</v>
      </c>
      <c r="L525" s="22" t="n">
        <f aca="false">F525*H525</f>
        <v>1222.4</v>
      </c>
      <c r="M525" s="22" t="n">
        <f aca="false">L525-K525</f>
        <v>-169.76</v>
      </c>
    </row>
    <row r="526" customFormat="false" ht="15" hidden="false" customHeight="false" outlineLevel="0" collapsed="false">
      <c r="A526" s="21" t="s">
        <v>695</v>
      </c>
      <c r="B526" s="21" t="s">
        <v>287</v>
      </c>
      <c r="C526" s="21" t="s">
        <v>87</v>
      </c>
      <c r="D526" s="21" t="s">
        <v>160</v>
      </c>
      <c r="E526" s="22" t="n">
        <v>5.57</v>
      </c>
      <c r="F526" s="22" t="n">
        <v>10.69</v>
      </c>
      <c r="G526" s="23" t="n">
        <v>195</v>
      </c>
      <c r="H526" s="23" t="n">
        <v>154</v>
      </c>
      <c r="I526" s="23" t="n">
        <f aca="false">G526-H526</f>
        <v>41</v>
      </c>
      <c r="J526" s="21" t="str">
        <f aca="false">IF(I526&lt;50,"LOW-IN-STOCK","IN-STOCK")</f>
        <v>LOW-IN-STOCK</v>
      </c>
      <c r="K526" s="22" t="n">
        <f aca="false">E526*G526</f>
        <v>1086.15</v>
      </c>
      <c r="L526" s="22" t="n">
        <f aca="false">F526*H526</f>
        <v>1646.26</v>
      </c>
      <c r="M526" s="22" t="n">
        <f aca="false">L526-K526</f>
        <v>560.11</v>
      </c>
    </row>
    <row r="527" customFormat="false" ht="15" hidden="false" customHeight="false" outlineLevel="0" collapsed="false">
      <c r="A527" s="21" t="s">
        <v>696</v>
      </c>
      <c r="B527" s="21" t="s">
        <v>227</v>
      </c>
      <c r="C527" s="21" t="s">
        <v>148</v>
      </c>
      <c r="D527" s="21" t="s">
        <v>80</v>
      </c>
      <c r="E527" s="22" t="n">
        <v>65.43</v>
      </c>
      <c r="F527" s="22" t="n">
        <v>111.82</v>
      </c>
      <c r="G527" s="23" t="n">
        <v>337</v>
      </c>
      <c r="H527" s="23" t="n">
        <v>303</v>
      </c>
      <c r="I527" s="23" t="n">
        <f aca="false">G527-H527</f>
        <v>34</v>
      </c>
      <c r="J527" s="21" t="str">
        <f aca="false">IF(I527&lt;50,"LOW-IN-STOCK","IN-STOCK")</f>
        <v>LOW-IN-STOCK</v>
      </c>
      <c r="K527" s="22" t="n">
        <f aca="false">E527*G527</f>
        <v>22049.91</v>
      </c>
      <c r="L527" s="22" t="n">
        <f aca="false">F527*H527</f>
        <v>33881.46</v>
      </c>
      <c r="M527" s="22" t="n">
        <f aca="false">L527-K527</f>
        <v>11831.55</v>
      </c>
    </row>
    <row r="528" customFormat="false" ht="15" hidden="false" customHeight="false" outlineLevel="0" collapsed="false">
      <c r="A528" s="21" t="s">
        <v>697</v>
      </c>
      <c r="B528" s="21" t="s">
        <v>280</v>
      </c>
      <c r="C528" s="21" t="s">
        <v>83</v>
      </c>
      <c r="D528" s="21" t="s">
        <v>84</v>
      </c>
      <c r="E528" s="22" t="n">
        <v>15.4</v>
      </c>
      <c r="F528" s="22" t="n">
        <v>21.05</v>
      </c>
      <c r="G528" s="23" t="n">
        <v>391</v>
      </c>
      <c r="H528" s="23" t="n">
        <v>233</v>
      </c>
      <c r="I528" s="23" t="n">
        <f aca="false">G528-H528</f>
        <v>158</v>
      </c>
      <c r="J528" s="21" t="str">
        <f aca="false">IF(I528&lt;50,"LOW-IN-STOCK","IN-STOCK")</f>
        <v>IN-STOCK</v>
      </c>
      <c r="K528" s="22" t="n">
        <f aca="false">E528*G528</f>
        <v>6021.4</v>
      </c>
      <c r="L528" s="22" t="n">
        <f aca="false">F528*H528</f>
        <v>4904.65</v>
      </c>
      <c r="M528" s="22" t="n">
        <f aca="false">L528-K528</f>
        <v>-1116.75</v>
      </c>
    </row>
    <row r="529" customFormat="false" ht="15" hidden="false" customHeight="false" outlineLevel="0" collapsed="false">
      <c r="A529" s="21" t="s">
        <v>698</v>
      </c>
      <c r="B529" s="21" t="s">
        <v>276</v>
      </c>
      <c r="C529" s="21" t="s">
        <v>83</v>
      </c>
      <c r="D529" s="21" t="s">
        <v>80</v>
      </c>
      <c r="E529" s="22" t="n">
        <v>24.93</v>
      </c>
      <c r="F529" s="22" t="n">
        <v>39.53</v>
      </c>
      <c r="G529" s="23" t="n">
        <v>55</v>
      </c>
      <c r="H529" s="23" t="n">
        <v>43</v>
      </c>
      <c r="I529" s="23" t="n">
        <f aca="false">G529-H529</f>
        <v>12</v>
      </c>
      <c r="J529" s="21" t="str">
        <f aca="false">IF(I529&lt;50,"LOW-IN-STOCK","IN-STOCK")</f>
        <v>LOW-IN-STOCK</v>
      </c>
      <c r="K529" s="22" t="n">
        <f aca="false">E529*G529</f>
        <v>1371.15</v>
      </c>
      <c r="L529" s="22" t="n">
        <f aca="false">F529*H529</f>
        <v>1699.79</v>
      </c>
      <c r="M529" s="22" t="n">
        <f aca="false">L529-K529</f>
        <v>328.64</v>
      </c>
    </row>
    <row r="530" customFormat="false" ht="15" hidden="false" customHeight="false" outlineLevel="0" collapsed="false">
      <c r="A530" s="21" t="s">
        <v>699</v>
      </c>
      <c r="B530" s="21" t="s">
        <v>106</v>
      </c>
      <c r="C530" s="21" t="s">
        <v>107</v>
      </c>
      <c r="D530" s="21" t="s">
        <v>114</v>
      </c>
      <c r="E530" s="22" t="n">
        <v>11.82</v>
      </c>
      <c r="F530" s="22" t="n">
        <v>17.93</v>
      </c>
      <c r="G530" s="23" t="n">
        <v>85</v>
      </c>
      <c r="H530" s="23" t="n">
        <v>27</v>
      </c>
      <c r="I530" s="23" t="n">
        <f aca="false">G530-H530</f>
        <v>58</v>
      </c>
      <c r="J530" s="21" t="str">
        <f aca="false">IF(I530&lt;50,"LOW-IN-STOCK","IN-STOCK")</f>
        <v>IN-STOCK</v>
      </c>
      <c r="K530" s="22" t="n">
        <f aca="false">E530*G530</f>
        <v>1004.7</v>
      </c>
      <c r="L530" s="22" t="n">
        <f aca="false">F530*H530</f>
        <v>484.11</v>
      </c>
      <c r="M530" s="22" t="n">
        <f aca="false">L530-K530</f>
        <v>-520.59</v>
      </c>
    </row>
    <row r="531" customFormat="false" ht="15" hidden="false" customHeight="false" outlineLevel="0" collapsed="false">
      <c r="A531" s="21" t="s">
        <v>700</v>
      </c>
      <c r="B531" s="21" t="s">
        <v>78</v>
      </c>
      <c r="C531" s="21" t="s">
        <v>79</v>
      </c>
      <c r="D531" s="21" t="s">
        <v>102</v>
      </c>
      <c r="E531" s="22" t="n">
        <v>14.97</v>
      </c>
      <c r="F531" s="22" t="n">
        <v>24.24</v>
      </c>
      <c r="G531" s="23" t="n">
        <v>441</v>
      </c>
      <c r="H531" s="23" t="n">
        <v>143</v>
      </c>
      <c r="I531" s="23" t="n">
        <f aca="false">G531-H531</f>
        <v>298</v>
      </c>
      <c r="J531" s="21" t="str">
        <f aca="false">IF(I531&lt;50,"LOW-IN-STOCK","IN-STOCK")</f>
        <v>IN-STOCK</v>
      </c>
      <c r="K531" s="22" t="n">
        <f aca="false">E531*G531</f>
        <v>6601.77</v>
      </c>
      <c r="L531" s="22" t="n">
        <f aca="false">F531*H531</f>
        <v>3466.32</v>
      </c>
      <c r="M531" s="22" t="n">
        <f aca="false">L531-K531</f>
        <v>-3135.45</v>
      </c>
    </row>
    <row r="532" customFormat="false" ht="15" hidden="false" customHeight="false" outlineLevel="0" collapsed="false">
      <c r="A532" s="21" t="s">
        <v>701</v>
      </c>
      <c r="B532" s="21" t="s">
        <v>132</v>
      </c>
      <c r="C532" s="21" t="s">
        <v>87</v>
      </c>
      <c r="D532" s="21" t="s">
        <v>108</v>
      </c>
      <c r="E532" s="22" t="n">
        <v>23.25</v>
      </c>
      <c r="F532" s="22" t="n">
        <v>32.29</v>
      </c>
      <c r="G532" s="23" t="n">
        <v>400</v>
      </c>
      <c r="H532" s="23" t="n">
        <v>258</v>
      </c>
      <c r="I532" s="23" t="n">
        <f aca="false">G532-H532</f>
        <v>142</v>
      </c>
      <c r="J532" s="21" t="str">
        <f aca="false">IF(I532&lt;50,"LOW-IN-STOCK","IN-STOCK")</f>
        <v>IN-STOCK</v>
      </c>
      <c r="K532" s="22" t="n">
        <f aca="false">E532*G532</f>
        <v>9300</v>
      </c>
      <c r="L532" s="22" t="n">
        <f aca="false">F532*H532</f>
        <v>8330.82</v>
      </c>
      <c r="M532" s="22" t="n">
        <f aca="false">L532-K532</f>
        <v>-969.18</v>
      </c>
    </row>
    <row r="533" customFormat="false" ht="15" hidden="false" customHeight="false" outlineLevel="0" collapsed="false">
      <c r="A533" s="21" t="s">
        <v>702</v>
      </c>
      <c r="B533" s="21" t="s">
        <v>481</v>
      </c>
      <c r="C533" s="21" t="s">
        <v>93</v>
      </c>
      <c r="D533" s="21" t="s">
        <v>88</v>
      </c>
      <c r="E533" s="22" t="n">
        <v>6.65</v>
      </c>
      <c r="F533" s="22" t="n">
        <v>12.45</v>
      </c>
      <c r="G533" s="23" t="n">
        <v>127</v>
      </c>
      <c r="H533" s="23" t="n">
        <v>59</v>
      </c>
      <c r="I533" s="23" t="n">
        <f aca="false">G533-H533</f>
        <v>68</v>
      </c>
      <c r="J533" s="21" t="str">
        <f aca="false">IF(I533&lt;50,"LOW-IN-STOCK","IN-STOCK")</f>
        <v>IN-STOCK</v>
      </c>
      <c r="K533" s="22" t="n">
        <f aca="false">E533*G533</f>
        <v>844.55</v>
      </c>
      <c r="L533" s="22" t="n">
        <f aca="false">F533*H533</f>
        <v>734.55</v>
      </c>
      <c r="M533" s="22" t="n">
        <f aca="false">L533-K533</f>
        <v>-110</v>
      </c>
    </row>
    <row r="534" customFormat="false" ht="15" hidden="false" customHeight="false" outlineLevel="0" collapsed="false">
      <c r="A534" s="21" t="s">
        <v>703</v>
      </c>
      <c r="B534" s="21" t="s">
        <v>481</v>
      </c>
      <c r="C534" s="21" t="s">
        <v>93</v>
      </c>
      <c r="D534" s="21" t="s">
        <v>160</v>
      </c>
      <c r="E534" s="22" t="n">
        <v>2.89</v>
      </c>
      <c r="F534" s="22" t="n">
        <v>6.24</v>
      </c>
      <c r="G534" s="23" t="n">
        <v>365</v>
      </c>
      <c r="H534" s="23" t="n">
        <v>146</v>
      </c>
      <c r="I534" s="23" t="n">
        <f aca="false">G534-H534</f>
        <v>219</v>
      </c>
      <c r="J534" s="21" t="str">
        <f aca="false">IF(I534&lt;50,"LOW-IN-STOCK","IN-STOCK")</f>
        <v>IN-STOCK</v>
      </c>
      <c r="K534" s="22" t="n">
        <f aca="false">E534*G534</f>
        <v>1054.85</v>
      </c>
      <c r="L534" s="22" t="n">
        <f aca="false">F534*H534</f>
        <v>911.04</v>
      </c>
      <c r="M534" s="22" t="n">
        <f aca="false">L534-K534</f>
        <v>-143.81</v>
      </c>
    </row>
    <row r="535" customFormat="false" ht="15" hidden="false" customHeight="false" outlineLevel="0" collapsed="false">
      <c r="A535" s="21" t="s">
        <v>704</v>
      </c>
      <c r="B535" s="21" t="s">
        <v>411</v>
      </c>
      <c r="C535" s="21" t="s">
        <v>107</v>
      </c>
      <c r="D535" s="21" t="s">
        <v>108</v>
      </c>
      <c r="E535" s="22" t="n">
        <v>0.77</v>
      </c>
      <c r="F535" s="22" t="n">
        <v>1.2</v>
      </c>
      <c r="G535" s="23" t="n">
        <v>228</v>
      </c>
      <c r="H535" s="23" t="n">
        <v>52</v>
      </c>
      <c r="I535" s="23" t="n">
        <f aca="false">G535-H535</f>
        <v>176</v>
      </c>
      <c r="J535" s="21" t="str">
        <f aca="false">IF(I535&lt;50,"LOW-IN-STOCK","IN-STOCK")</f>
        <v>IN-STOCK</v>
      </c>
      <c r="K535" s="22" t="n">
        <f aca="false">E535*G535</f>
        <v>175.56</v>
      </c>
      <c r="L535" s="22" t="n">
        <f aca="false">F535*H535</f>
        <v>62.4</v>
      </c>
      <c r="M535" s="22" t="n">
        <f aca="false">L535-K535</f>
        <v>-113.16</v>
      </c>
    </row>
    <row r="536" customFormat="false" ht="15" hidden="false" customHeight="false" outlineLevel="0" collapsed="false">
      <c r="A536" s="21" t="s">
        <v>705</v>
      </c>
      <c r="B536" s="21" t="s">
        <v>139</v>
      </c>
      <c r="C536" s="21" t="s">
        <v>75</v>
      </c>
      <c r="D536" s="21" t="s">
        <v>102</v>
      </c>
      <c r="E536" s="22" t="n">
        <v>6.05</v>
      </c>
      <c r="F536" s="22" t="n">
        <v>12.33</v>
      </c>
      <c r="G536" s="23" t="n">
        <v>309</v>
      </c>
      <c r="H536" s="23" t="n">
        <v>210</v>
      </c>
      <c r="I536" s="23" t="n">
        <f aca="false">G536-H536</f>
        <v>99</v>
      </c>
      <c r="J536" s="21" t="str">
        <f aca="false">IF(I536&lt;50,"LOW-IN-STOCK","IN-STOCK")</f>
        <v>IN-STOCK</v>
      </c>
      <c r="K536" s="22" t="n">
        <f aca="false">E536*G536</f>
        <v>1869.45</v>
      </c>
      <c r="L536" s="22" t="n">
        <f aca="false">F536*H536</f>
        <v>2589.3</v>
      </c>
      <c r="M536" s="22" t="n">
        <f aca="false">L536-K536</f>
        <v>719.85</v>
      </c>
    </row>
    <row r="537" customFormat="false" ht="15" hidden="false" customHeight="false" outlineLevel="0" collapsed="false">
      <c r="A537" s="21" t="s">
        <v>706</v>
      </c>
      <c r="B537" s="21" t="s">
        <v>116</v>
      </c>
      <c r="C537" s="21" t="s">
        <v>83</v>
      </c>
      <c r="D537" s="21" t="s">
        <v>102</v>
      </c>
      <c r="E537" s="22" t="n">
        <v>17.64</v>
      </c>
      <c r="F537" s="22" t="n">
        <v>35.3</v>
      </c>
      <c r="G537" s="23" t="n">
        <v>53</v>
      </c>
      <c r="H537" s="23" t="n">
        <v>43</v>
      </c>
      <c r="I537" s="23" t="n">
        <f aca="false">G537-H537</f>
        <v>10</v>
      </c>
      <c r="J537" s="21" t="str">
        <f aca="false">IF(I537&lt;50,"LOW-IN-STOCK","IN-STOCK")</f>
        <v>LOW-IN-STOCK</v>
      </c>
      <c r="K537" s="22" t="n">
        <f aca="false">E537*G537</f>
        <v>934.92</v>
      </c>
      <c r="L537" s="22" t="n">
        <f aca="false">F537*H537</f>
        <v>1517.9</v>
      </c>
      <c r="M537" s="22" t="n">
        <f aca="false">L537-K537</f>
        <v>582.98</v>
      </c>
    </row>
    <row r="538" customFormat="false" ht="15" hidden="false" customHeight="false" outlineLevel="0" collapsed="false">
      <c r="A538" s="21" t="s">
        <v>707</v>
      </c>
      <c r="B538" s="21" t="s">
        <v>216</v>
      </c>
      <c r="C538" s="21" t="s">
        <v>107</v>
      </c>
      <c r="D538" s="21" t="s">
        <v>102</v>
      </c>
      <c r="E538" s="22" t="n">
        <v>7.77</v>
      </c>
      <c r="F538" s="22" t="n">
        <v>15.23</v>
      </c>
      <c r="G538" s="23" t="n">
        <v>447</v>
      </c>
      <c r="H538" s="23" t="n">
        <v>191</v>
      </c>
      <c r="I538" s="23" t="n">
        <f aca="false">G538-H538</f>
        <v>256</v>
      </c>
      <c r="J538" s="21" t="str">
        <f aca="false">IF(I538&lt;50,"LOW-IN-STOCK","IN-STOCK")</f>
        <v>IN-STOCK</v>
      </c>
      <c r="K538" s="22" t="n">
        <f aca="false">E538*G538</f>
        <v>3473.19</v>
      </c>
      <c r="L538" s="22" t="n">
        <f aca="false">F538*H538</f>
        <v>2908.93</v>
      </c>
      <c r="M538" s="22" t="n">
        <f aca="false">L538-K538</f>
        <v>-564.259999999999</v>
      </c>
    </row>
    <row r="539" customFormat="false" ht="15" hidden="false" customHeight="false" outlineLevel="0" collapsed="false">
      <c r="A539" s="21" t="s">
        <v>708</v>
      </c>
      <c r="B539" s="21" t="s">
        <v>150</v>
      </c>
      <c r="C539" s="21" t="s">
        <v>148</v>
      </c>
      <c r="D539" s="21" t="s">
        <v>76</v>
      </c>
      <c r="E539" s="22" t="n">
        <v>26.41</v>
      </c>
      <c r="F539" s="22" t="n">
        <v>41.24</v>
      </c>
      <c r="G539" s="23" t="n">
        <v>493</v>
      </c>
      <c r="H539" s="23" t="n">
        <v>187</v>
      </c>
      <c r="I539" s="23" t="n">
        <f aca="false">G539-H539</f>
        <v>306</v>
      </c>
      <c r="J539" s="21" t="str">
        <f aca="false">IF(I539&lt;50,"LOW-IN-STOCK","IN-STOCK")</f>
        <v>IN-STOCK</v>
      </c>
      <c r="K539" s="22" t="n">
        <f aca="false">E539*G539</f>
        <v>13020.13</v>
      </c>
      <c r="L539" s="22" t="n">
        <f aca="false">F539*H539</f>
        <v>7711.88</v>
      </c>
      <c r="M539" s="22" t="n">
        <f aca="false">L539-K539</f>
        <v>-5308.25</v>
      </c>
    </row>
    <row r="540" customFormat="false" ht="15" hidden="false" customHeight="false" outlineLevel="0" collapsed="false">
      <c r="A540" s="21" t="s">
        <v>709</v>
      </c>
      <c r="B540" s="21" t="s">
        <v>126</v>
      </c>
      <c r="C540" s="21" t="s">
        <v>79</v>
      </c>
      <c r="D540" s="21" t="s">
        <v>114</v>
      </c>
      <c r="E540" s="22" t="n">
        <v>10.57</v>
      </c>
      <c r="F540" s="22" t="n">
        <v>14.35</v>
      </c>
      <c r="G540" s="23" t="n">
        <v>435</v>
      </c>
      <c r="H540" s="23" t="n">
        <v>222</v>
      </c>
      <c r="I540" s="23" t="n">
        <f aca="false">G540-H540</f>
        <v>213</v>
      </c>
      <c r="J540" s="21" t="str">
        <f aca="false">IF(I540&lt;50,"LOW-IN-STOCK","IN-STOCK")</f>
        <v>IN-STOCK</v>
      </c>
      <c r="K540" s="22" t="n">
        <f aca="false">E540*G540</f>
        <v>4597.95</v>
      </c>
      <c r="L540" s="22" t="n">
        <f aca="false">F540*H540</f>
        <v>3185.7</v>
      </c>
      <c r="M540" s="22" t="n">
        <f aca="false">L540-K540</f>
        <v>-1412.25</v>
      </c>
    </row>
    <row r="541" customFormat="false" ht="15" hidden="false" customHeight="false" outlineLevel="0" collapsed="false">
      <c r="A541" s="21" t="s">
        <v>710</v>
      </c>
      <c r="B541" s="21" t="s">
        <v>466</v>
      </c>
      <c r="C541" s="21" t="s">
        <v>79</v>
      </c>
      <c r="D541" s="21" t="s">
        <v>102</v>
      </c>
      <c r="E541" s="22" t="n">
        <v>10.49</v>
      </c>
      <c r="F541" s="22" t="n">
        <v>22.78</v>
      </c>
      <c r="G541" s="23" t="n">
        <v>213</v>
      </c>
      <c r="H541" s="23" t="n">
        <v>119</v>
      </c>
      <c r="I541" s="23" t="n">
        <f aca="false">G541-H541</f>
        <v>94</v>
      </c>
      <c r="J541" s="21" t="str">
        <f aca="false">IF(I541&lt;50,"LOW-IN-STOCK","IN-STOCK")</f>
        <v>IN-STOCK</v>
      </c>
      <c r="K541" s="22" t="n">
        <f aca="false">E541*G541</f>
        <v>2234.37</v>
      </c>
      <c r="L541" s="22" t="n">
        <f aca="false">F541*H541</f>
        <v>2710.82</v>
      </c>
      <c r="M541" s="22" t="n">
        <f aca="false">L541-K541</f>
        <v>476.45</v>
      </c>
    </row>
    <row r="542" customFormat="false" ht="15" hidden="false" customHeight="false" outlineLevel="0" collapsed="false">
      <c r="A542" s="21" t="s">
        <v>711</v>
      </c>
      <c r="B542" s="21" t="s">
        <v>186</v>
      </c>
      <c r="C542" s="21" t="s">
        <v>83</v>
      </c>
      <c r="D542" s="21" t="s">
        <v>80</v>
      </c>
      <c r="E542" s="22" t="n">
        <v>14.91</v>
      </c>
      <c r="F542" s="22" t="n">
        <v>30.42</v>
      </c>
      <c r="G542" s="23" t="n">
        <v>353</v>
      </c>
      <c r="H542" s="23" t="n">
        <v>65</v>
      </c>
      <c r="I542" s="23" t="n">
        <f aca="false">G542-H542</f>
        <v>288</v>
      </c>
      <c r="J542" s="21" t="str">
        <f aca="false">IF(I542&lt;50,"LOW-IN-STOCK","IN-STOCK")</f>
        <v>IN-STOCK</v>
      </c>
      <c r="K542" s="22" t="n">
        <f aca="false">E542*G542</f>
        <v>5263.23</v>
      </c>
      <c r="L542" s="22" t="n">
        <f aca="false">F542*H542</f>
        <v>1977.3</v>
      </c>
      <c r="M542" s="22" t="n">
        <f aca="false">L542-K542</f>
        <v>-3285.93</v>
      </c>
    </row>
    <row r="543" customFormat="false" ht="15" hidden="false" customHeight="false" outlineLevel="0" collapsed="false">
      <c r="A543" s="21" t="s">
        <v>712</v>
      </c>
      <c r="B543" s="21" t="s">
        <v>306</v>
      </c>
      <c r="C543" s="21" t="s">
        <v>93</v>
      </c>
      <c r="D543" s="21" t="s">
        <v>108</v>
      </c>
      <c r="E543" s="22" t="n">
        <v>5.14</v>
      </c>
      <c r="F543" s="22" t="n">
        <v>7.91</v>
      </c>
      <c r="G543" s="23" t="n">
        <v>480</v>
      </c>
      <c r="H543" s="23" t="n">
        <v>237</v>
      </c>
      <c r="I543" s="23" t="n">
        <f aca="false">G543-H543</f>
        <v>243</v>
      </c>
      <c r="J543" s="21" t="str">
        <f aca="false">IF(I543&lt;50,"LOW-IN-STOCK","IN-STOCK")</f>
        <v>IN-STOCK</v>
      </c>
      <c r="K543" s="22" t="n">
        <f aca="false">E543*G543</f>
        <v>2467.2</v>
      </c>
      <c r="L543" s="22" t="n">
        <f aca="false">F543*H543</f>
        <v>1874.67</v>
      </c>
      <c r="M543" s="22" t="n">
        <f aca="false">L543-K543</f>
        <v>-592.53</v>
      </c>
    </row>
    <row r="544" customFormat="false" ht="15" hidden="false" customHeight="false" outlineLevel="0" collapsed="false">
      <c r="A544" s="21" t="s">
        <v>713</v>
      </c>
      <c r="B544" s="21" t="s">
        <v>134</v>
      </c>
      <c r="C544" s="21" t="s">
        <v>83</v>
      </c>
      <c r="D544" s="21" t="s">
        <v>80</v>
      </c>
      <c r="E544" s="22" t="n">
        <v>22.2</v>
      </c>
      <c r="F544" s="22" t="n">
        <v>48.49</v>
      </c>
      <c r="G544" s="23" t="n">
        <v>262</v>
      </c>
      <c r="H544" s="23" t="n">
        <v>84</v>
      </c>
      <c r="I544" s="23" t="n">
        <f aca="false">G544-H544</f>
        <v>178</v>
      </c>
      <c r="J544" s="21" t="str">
        <f aca="false">IF(I544&lt;50,"LOW-IN-STOCK","IN-STOCK")</f>
        <v>IN-STOCK</v>
      </c>
      <c r="K544" s="22" t="n">
        <f aca="false">E544*G544</f>
        <v>5816.4</v>
      </c>
      <c r="L544" s="22" t="n">
        <f aca="false">F544*H544</f>
        <v>4073.16</v>
      </c>
      <c r="M544" s="22" t="n">
        <f aca="false">L544-K544</f>
        <v>-1743.24</v>
      </c>
    </row>
    <row r="545" customFormat="false" ht="15" hidden="false" customHeight="false" outlineLevel="0" collapsed="false">
      <c r="A545" s="21" t="s">
        <v>714</v>
      </c>
      <c r="B545" s="21" t="s">
        <v>106</v>
      </c>
      <c r="C545" s="21" t="s">
        <v>107</v>
      </c>
      <c r="D545" s="21" t="s">
        <v>102</v>
      </c>
      <c r="E545" s="22" t="n">
        <v>1.04</v>
      </c>
      <c r="F545" s="22" t="n">
        <v>1.59</v>
      </c>
      <c r="G545" s="23" t="n">
        <v>393</v>
      </c>
      <c r="H545" s="23" t="n">
        <v>333</v>
      </c>
      <c r="I545" s="23" t="n">
        <f aca="false">G545-H545</f>
        <v>60</v>
      </c>
      <c r="J545" s="21" t="str">
        <f aca="false">IF(I545&lt;50,"LOW-IN-STOCK","IN-STOCK")</f>
        <v>IN-STOCK</v>
      </c>
      <c r="K545" s="22" t="n">
        <f aca="false">E545*G545</f>
        <v>408.72</v>
      </c>
      <c r="L545" s="22" t="n">
        <f aca="false">F545*H545</f>
        <v>529.47</v>
      </c>
      <c r="M545" s="22" t="n">
        <f aca="false">L545-K545</f>
        <v>120.75</v>
      </c>
    </row>
    <row r="546" customFormat="false" ht="15" hidden="false" customHeight="false" outlineLevel="0" collapsed="false">
      <c r="A546" s="21" t="s">
        <v>715</v>
      </c>
      <c r="B546" s="21" t="s">
        <v>213</v>
      </c>
      <c r="C546" s="21" t="s">
        <v>87</v>
      </c>
      <c r="D546" s="21" t="s">
        <v>102</v>
      </c>
      <c r="E546" s="22" t="n">
        <v>21.77</v>
      </c>
      <c r="F546" s="22" t="n">
        <v>43.7</v>
      </c>
      <c r="G546" s="23" t="n">
        <v>231</v>
      </c>
      <c r="H546" s="23" t="n">
        <v>161</v>
      </c>
      <c r="I546" s="23" t="n">
        <f aca="false">G546-H546</f>
        <v>70</v>
      </c>
      <c r="J546" s="21" t="str">
        <f aca="false">IF(I546&lt;50,"LOW-IN-STOCK","IN-STOCK")</f>
        <v>IN-STOCK</v>
      </c>
      <c r="K546" s="22" t="n">
        <f aca="false">E546*G546</f>
        <v>5028.87</v>
      </c>
      <c r="L546" s="22" t="n">
        <f aca="false">F546*H546</f>
        <v>7035.7</v>
      </c>
      <c r="M546" s="22" t="n">
        <f aca="false">L546-K546</f>
        <v>2006.83</v>
      </c>
    </row>
    <row r="547" customFormat="false" ht="15" hidden="false" customHeight="false" outlineLevel="0" collapsed="false">
      <c r="A547" s="21" t="s">
        <v>716</v>
      </c>
      <c r="B547" s="21" t="s">
        <v>120</v>
      </c>
      <c r="C547" s="21" t="s">
        <v>107</v>
      </c>
      <c r="D547" s="21" t="s">
        <v>80</v>
      </c>
      <c r="E547" s="22" t="n">
        <v>2.82</v>
      </c>
      <c r="F547" s="22" t="n">
        <v>5.99</v>
      </c>
      <c r="G547" s="23" t="n">
        <v>277</v>
      </c>
      <c r="H547" s="23" t="n">
        <v>71</v>
      </c>
      <c r="I547" s="23" t="n">
        <f aca="false">G547-H547</f>
        <v>206</v>
      </c>
      <c r="J547" s="21" t="str">
        <f aca="false">IF(I547&lt;50,"LOW-IN-STOCK","IN-STOCK")</f>
        <v>IN-STOCK</v>
      </c>
      <c r="K547" s="22" t="n">
        <f aca="false">E547*G547</f>
        <v>781.14</v>
      </c>
      <c r="L547" s="22" t="n">
        <f aca="false">F547*H547</f>
        <v>425.29</v>
      </c>
      <c r="M547" s="22" t="n">
        <f aca="false">L547-K547</f>
        <v>-355.85</v>
      </c>
    </row>
    <row r="548" customFormat="false" ht="15" hidden="false" customHeight="false" outlineLevel="0" collapsed="false">
      <c r="A548" s="21" t="s">
        <v>717</v>
      </c>
      <c r="B548" s="21" t="s">
        <v>90</v>
      </c>
      <c r="C548" s="21" t="s">
        <v>75</v>
      </c>
      <c r="D548" s="21" t="s">
        <v>84</v>
      </c>
      <c r="E548" s="22" t="n">
        <v>24.56</v>
      </c>
      <c r="F548" s="22" t="n">
        <v>33.2</v>
      </c>
      <c r="G548" s="23" t="n">
        <v>364</v>
      </c>
      <c r="H548" s="23" t="n">
        <v>252</v>
      </c>
      <c r="I548" s="23" t="n">
        <f aca="false">G548-H548</f>
        <v>112</v>
      </c>
      <c r="J548" s="21" t="str">
        <f aca="false">IF(I548&lt;50,"LOW-IN-STOCK","IN-STOCK")</f>
        <v>IN-STOCK</v>
      </c>
      <c r="K548" s="22" t="n">
        <f aca="false">E548*G548</f>
        <v>8939.84</v>
      </c>
      <c r="L548" s="22" t="n">
        <f aca="false">F548*H548</f>
        <v>8366.4</v>
      </c>
      <c r="M548" s="22" t="n">
        <f aca="false">L548-K548</f>
        <v>-573.439999999999</v>
      </c>
    </row>
    <row r="549" customFormat="false" ht="15" hidden="false" customHeight="false" outlineLevel="0" collapsed="false">
      <c r="A549" s="21" t="s">
        <v>718</v>
      </c>
      <c r="B549" s="21" t="s">
        <v>411</v>
      </c>
      <c r="C549" s="21" t="s">
        <v>107</v>
      </c>
      <c r="D549" s="21" t="s">
        <v>102</v>
      </c>
      <c r="E549" s="22" t="n">
        <v>8.5</v>
      </c>
      <c r="F549" s="22" t="n">
        <v>14.88</v>
      </c>
      <c r="G549" s="23" t="n">
        <v>267</v>
      </c>
      <c r="H549" s="23" t="n">
        <v>77</v>
      </c>
      <c r="I549" s="23" t="n">
        <f aca="false">G549-H549</f>
        <v>190</v>
      </c>
      <c r="J549" s="21" t="str">
        <f aca="false">IF(I549&lt;50,"LOW-IN-STOCK","IN-STOCK")</f>
        <v>IN-STOCK</v>
      </c>
      <c r="K549" s="22" t="n">
        <f aca="false">E549*G549</f>
        <v>2269.5</v>
      </c>
      <c r="L549" s="22" t="n">
        <f aca="false">F549*H549</f>
        <v>1145.76</v>
      </c>
      <c r="M549" s="22" t="n">
        <f aca="false">L549-K549</f>
        <v>-1123.74</v>
      </c>
    </row>
    <row r="550" customFormat="false" ht="15" hidden="false" customHeight="false" outlineLevel="0" collapsed="false">
      <c r="A550" s="21" t="s">
        <v>719</v>
      </c>
      <c r="B550" s="21" t="s">
        <v>143</v>
      </c>
      <c r="C550" s="21" t="s">
        <v>107</v>
      </c>
      <c r="D550" s="21" t="s">
        <v>160</v>
      </c>
      <c r="E550" s="22" t="n">
        <v>6.79</v>
      </c>
      <c r="F550" s="22" t="n">
        <v>12</v>
      </c>
      <c r="G550" s="23" t="n">
        <v>355</v>
      </c>
      <c r="H550" s="23" t="n">
        <v>291</v>
      </c>
      <c r="I550" s="23" t="n">
        <f aca="false">G550-H550</f>
        <v>64</v>
      </c>
      <c r="J550" s="21" t="str">
        <f aca="false">IF(I550&lt;50,"LOW-IN-STOCK","IN-STOCK")</f>
        <v>IN-STOCK</v>
      </c>
      <c r="K550" s="22" t="n">
        <f aca="false">E550*G550</f>
        <v>2410.45</v>
      </c>
      <c r="L550" s="22" t="n">
        <f aca="false">F550*H550</f>
        <v>3492</v>
      </c>
      <c r="M550" s="22" t="n">
        <f aca="false">L550-K550</f>
        <v>1081.55</v>
      </c>
    </row>
    <row r="551" customFormat="false" ht="15" hidden="false" customHeight="false" outlineLevel="0" collapsed="false">
      <c r="A551" s="21" t="s">
        <v>720</v>
      </c>
      <c r="B551" s="21" t="s">
        <v>466</v>
      </c>
      <c r="C551" s="21" t="s">
        <v>79</v>
      </c>
      <c r="D551" s="21" t="s">
        <v>84</v>
      </c>
      <c r="E551" s="22" t="n">
        <v>14.69</v>
      </c>
      <c r="F551" s="22" t="n">
        <v>29.48</v>
      </c>
      <c r="G551" s="23" t="n">
        <v>343</v>
      </c>
      <c r="H551" s="23" t="n">
        <v>55</v>
      </c>
      <c r="I551" s="23" t="n">
        <f aca="false">G551-H551</f>
        <v>288</v>
      </c>
      <c r="J551" s="21" t="str">
        <f aca="false">IF(I551&lt;50,"LOW-IN-STOCK","IN-STOCK")</f>
        <v>IN-STOCK</v>
      </c>
      <c r="K551" s="22" t="n">
        <f aca="false">E551*G551</f>
        <v>5038.67</v>
      </c>
      <c r="L551" s="22" t="n">
        <f aca="false">F551*H551</f>
        <v>1621.4</v>
      </c>
      <c r="M551" s="22" t="n">
        <f aca="false">L551-K551</f>
        <v>-3417.27</v>
      </c>
    </row>
    <row r="552" customFormat="false" ht="15" hidden="false" customHeight="false" outlineLevel="0" collapsed="false">
      <c r="A552" s="21" t="s">
        <v>721</v>
      </c>
      <c r="B552" s="21" t="s">
        <v>176</v>
      </c>
      <c r="C552" s="21" t="s">
        <v>83</v>
      </c>
      <c r="D552" s="21" t="s">
        <v>102</v>
      </c>
      <c r="E552" s="22" t="n">
        <v>11.41</v>
      </c>
      <c r="F552" s="22" t="n">
        <v>15.84</v>
      </c>
      <c r="G552" s="23" t="n">
        <v>478</v>
      </c>
      <c r="H552" s="23" t="n">
        <v>422</v>
      </c>
      <c r="I552" s="23" t="n">
        <f aca="false">G552-H552</f>
        <v>56</v>
      </c>
      <c r="J552" s="21" t="str">
        <f aca="false">IF(I552&lt;50,"LOW-IN-STOCK","IN-STOCK")</f>
        <v>IN-STOCK</v>
      </c>
      <c r="K552" s="22" t="n">
        <f aca="false">E552*G552</f>
        <v>5453.98</v>
      </c>
      <c r="L552" s="22" t="n">
        <f aca="false">F552*H552</f>
        <v>6684.48</v>
      </c>
      <c r="M552" s="22" t="n">
        <f aca="false">L552-K552</f>
        <v>1230.5</v>
      </c>
    </row>
    <row r="553" customFormat="false" ht="15" hidden="false" customHeight="false" outlineLevel="0" collapsed="false">
      <c r="A553" s="21" t="s">
        <v>722</v>
      </c>
      <c r="B553" s="21" t="s">
        <v>239</v>
      </c>
      <c r="C553" s="21" t="s">
        <v>113</v>
      </c>
      <c r="D553" s="21" t="s">
        <v>84</v>
      </c>
      <c r="E553" s="22" t="n">
        <v>17.3</v>
      </c>
      <c r="F553" s="22" t="n">
        <v>29.07</v>
      </c>
      <c r="G553" s="23" t="n">
        <v>356</v>
      </c>
      <c r="H553" s="23" t="n">
        <v>302</v>
      </c>
      <c r="I553" s="23" t="n">
        <f aca="false">G553-H553</f>
        <v>54</v>
      </c>
      <c r="J553" s="21" t="str">
        <f aca="false">IF(I553&lt;50,"LOW-IN-STOCK","IN-STOCK")</f>
        <v>IN-STOCK</v>
      </c>
      <c r="K553" s="22" t="n">
        <f aca="false">E553*G553</f>
        <v>6158.8</v>
      </c>
      <c r="L553" s="22" t="n">
        <f aca="false">F553*H553</f>
        <v>8779.14</v>
      </c>
      <c r="M553" s="22" t="n">
        <f aca="false">L553-K553</f>
        <v>2620.34</v>
      </c>
    </row>
    <row r="554" customFormat="false" ht="15" hidden="false" customHeight="false" outlineLevel="0" collapsed="false">
      <c r="A554" s="21" t="s">
        <v>723</v>
      </c>
      <c r="B554" s="21" t="s">
        <v>383</v>
      </c>
      <c r="C554" s="21" t="s">
        <v>87</v>
      </c>
      <c r="D554" s="21" t="s">
        <v>108</v>
      </c>
      <c r="E554" s="22" t="n">
        <v>2.83</v>
      </c>
      <c r="F554" s="22" t="n">
        <v>4.3</v>
      </c>
      <c r="G554" s="23" t="n">
        <v>170</v>
      </c>
      <c r="H554" s="23" t="n">
        <v>109</v>
      </c>
      <c r="I554" s="23" t="n">
        <f aca="false">G554-H554</f>
        <v>61</v>
      </c>
      <c r="J554" s="21" t="str">
        <f aca="false">IF(I554&lt;50,"LOW-IN-STOCK","IN-STOCK")</f>
        <v>IN-STOCK</v>
      </c>
      <c r="K554" s="22" t="n">
        <f aca="false">E554*G554</f>
        <v>481.1</v>
      </c>
      <c r="L554" s="22" t="n">
        <f aca="false">F554*H554</f>
        <v>468.7</v>
      </c>
      <c r="M554" s="22" t="n">
        <f aca="false">L554-K554</f>
        <v>-12.4</v>
      </c>
    </row>
    <row r="555" customFormat="false" ht="15" hidden="false" customHeight="false" outlineLevel="0" collapsed="false">
      <c r="A555" s="21" t="s">
        <v>724</v>
      </c>
      <c r="B555" s="21" t="s">
        <v>118</v>
      </c>
      <c r="C555" s="21" t="s">
        <v>79</v>
      </c>
      <c r="D555" s="21" t="s">
        <v>80</v>
      </c>
      <c r="E555" s="22" t="n">
        <v>6.02</v>
      </c>
      <c r="F555" s="22" t="n">
        <v>9.12</v>
      </c>
      <c r="G555" s="23" t="n">
        <v>62</v>
      </c>
      <c r="H555" s="23" t="n">
        <v>40</v>
      </c>
      <c r="I555" s="23" t="n">
        <f aca="false">G555-H555</f>
        <v>22</v>
      </c>
      <c r="J555" s="21" t="str">
        <f aca="false">IF(I555&lt;50,"LOW-IN-STOCK","IN-STOCK")</f>
        <v>LOW-IN-STOCK</v>
      </c>
      <c r="K555" s="22" t="n">
        <f aca="false">E555*G555</f>
        <v>373.24</v>
      </c>
      <c r="L555" s="22" t="n">
        <f aca="false">F555*H555</f>
        <v>364.8</v>
      </c>
      <c r="M555" s="22" t="n">
        <f aca="false">L555-K555</f>
        <v>-8.44</v>
      </c>
    </row>
    <row r="556" customFormat="false" ht="15" hidden="false" customHeight="false" outlineLevel="0" collapsed="false">
      <c r="A556" s="21" t="s">
        <v>725</v>
      </c>
      <c r="B556" s="21" t="s">
        <v>82</v>
      </c>
      <c r="C556" s="21" t="s">
        <v>83</v>
      </c>
      <c r="D556" s="21" t="s">
        <v>137</v>
      </c>
      <c r="E556" s="22" t="n">
        <v>14.73</v>
      </c>
      <c r="F556" s="22" t="n">
        <v>22.35</v>
      </c>
      <c r="G556" s="23" t="n">
        <v>471</v>
      </c>
      <c r="H556" s="23" t="n">
        <v>254</v>
      </c>
      <c r="I556" s="23" t="n">
        <f aca="false">G556-H556</f>
        <v>217</v>
      </c>
      <c r="J556" s="21" t="str">
        <f aca="false">IF(I556&lt;50,"LOW-IN-STOCK","IN-STOCK")</f>
        <v>IN-STOCK</v>
      </c>
      <c r="K556" s="22" t="n">
        <f aca="false">E556*G556</f>
        <v>6937.83</v>
      </c>
      <c r="L556" s="22" t="n">
        <f aca="false">F556*H556</f>
        <v>5676.9</v>
      </c>
      <c r="M556" s="22" t="n">
        <f aca="false">L556-K556</f>
        <v>-1260.93</v>
      </c>
    </row>
    <row r="557" customFormat="false" ht="15" hidden="false" customHeight="false" outlineLevel="0" collapsed="false">
      <c r="A557" s="21" t="s">
        <v>726</v>
      </c>
      <c r="B557" s="21" t="s">
        <v>297</v>
      </c>
      <c r="C557" s="21" t="s">
        <v>107</v>
      </c>
      <c r="D557" s="21" t="s">
        <v>102</v>
      </c>
      <c r="E557" s="22" t="n">
        <v>3.33</v>
      </c>
      <c r="F557" s="22" t="n">
        <v>5.97</v>
      </c>
      <c r="G557" s="23" t="n">
        <v>109</v>
      </c>
      <c r="H557" s="23" t="n">
        <v>21</v>
      </c>
      <c r="I557" s="23" t="n">
        <f aca="false">G557-H557</f>
        <v>88</v>
      </c>
      <c r="J557" s="21" t="str">
        <f aca="false">IF(I557&lt;50,"LOW-IN-STOCK","IN-STOCK")</f>
        <v>IN-STOCK</v>
      </c>
      <c r="K557" s="22" t="n">
        <f aca="false">E557*G557</f>
        <v>362.97</v>
      </c>
      <c r="L557" s="22" t="n">
        <f aca="false">F557*H557</f>
        <v>125.37</v>
      </c>
      <c r="M557" s="22" t="n">
        <f aca="false">L557-K557</f>
        <v>-237.6</v>
      </c>
    </row>
    <row r="558" customFormat="false" ht="15" hidden="false" customHeight="false" outlineLevel="0" collapsed="false">
      <c r="A558" s="21" t="s">
        <v>727</v>
      </c>
      <c r="B558" s="21" t="s">
        <v>143</v>
      </c>
      <c r="C558" s="21" t="s">
        <v>107</v>
      </c>
      <c r="D558" s="21" t="s">
        <v>114</v>
      </c>
      <c r="E558" s="22" t="n">
        <v>1.08</v>
      </c>
      <c r="F558" s="22" t="n">
        <v>1.91</v>
      </c>
      <c r="G558" s="23" t="n">
        <v>207</v>
      </c>
      <c r="H558" s="23" t="n">
        <v>133</v>
      </c>
      <c r="I558" s="23" t="n">
        <f aca="false">G558-H558</f>
        <v>74</v>
      </c>
      <c r="J558" s="21" t="str">
        <f aca="false">IF(I558&lt;50,"LOW-IN-STOCK","IN-STOCK")</f>
        <v>IN-STOCK</v>
      </c>
      <c r="K558" s="22" t="n">
        <f aca="false">E558*G558</f>
        <v>223.56</v>
      </c>
      <c r="L558" s="22" t="n">
        <f aca="false">F558*H558</f>
        <v>254.03</v>
      </c>
      <c r="M558" s="22" t="n">
        <f aca="false">L558-K558</f>
        <v>30.47</v>
      </c>
    </row>
    <row r="559" customFormat="false" ht="15" hidden="false" customHeight="false" outlineLevel="0" collapsed="false">
      <c r="A559" s="21" t="s">
        <v>728</v>
      </c>
      <c r="B559" s="21" t="s">
        <v>154</v>
      </c>
      <c r="C559" s="21" t="s">
        <v>93</v>
      </c>
      <c r="D559" s="21" t="s">
        <v>114</v>
      </c>
      <c r="E559" s="22" t="n">
        <v>2.52</v>
      </c>
      <c r="F559" s="22" t="n">
        <v>4.35</v>
      </c>
      <c r="G559" s="23" t="n">
        <v>148</v>
      </c>
      <c r="H559" s="23" t="n">
        <v>68</v>
      </c>
      <c r="I559" s="23" t="n">
        <f aca="false">G559-H559</f>
        <v>80</v>
      </c>
      <c r="J559" s="21" t="str">
        <f aca="false">IF(I559&lt;50,"LOW-IN-STOCK","IN-STOCK")</f>
        <v>IN-STOCK</v>
      </c>
      <c r="K559" s="22" t="n">
        <f aca="false">E559*G559</f>
        <v>372.96</v>
      </c>
      <c r="L559" s="22" t="n">
        <f aca="false">F559*H559</f>
        <v>295.8</v>
      </c>
      <c r="M559" s="22" t="n">
        <f aca="false">L559-K559</f>
        <v>-77.16</v>
      </c>
    </row>
    <row r="560" customFormat="false" ht="15" hidden="false" customHeight="false" outlineLevel="0" collapsed="false">
      <c r="A560" s="21" t="s">
        <v>729</v>
      </c>
      <c r="B560" s="21" t="s">
        <v>224</v>
      </c>
      <c r="C560" s="21" t="s">
        <v>79</v>
      </c>
      <c r="D560" s="21" t="s">
        <v>88</v>
      </c>
      <c r="E560" s="22" t="n">
        <v>13.63</v>
      </c>
      <c r="F560" s="22" t="n">
        <v>29.41</v>
      </c>
      <c r="G560" s="23" t="n">
        <v>339</v>
      </c>
      <c r="H560" s="23" t="n">
        <v>183</v>
      </c>
      <c r="I560" s="23" t="n">
        <f aca="false">G560-H560</f>
        <v>156</v>
      </c>
      <c r="J560" s="21" t="str">
        <f aca="false">IF(I560&lt;50,"LOW-IN-STOCK","IN-STOCK")</f>
        <v>IN-STOCK</v>
      </c>
      <c r="K560" s="22" t="n">
        <f aca="false">E560*G560</f>
        <v>4620.57</v>
      </c>
      <c r="L560" s="22" t="n">
        <f aca="false">F560*H560</f>
        <v>5382.03</v>
      </c>
      <c r="M560" s="22" t="n">
        <f aca="false">L560-K560</f>
        <v>761.459999999999</v>
      </c>
    </row>
    <row r="561" customFormat="false" ht="15" hidden="false" customHeight="false" outlineLevel="0" collapsed="false">
      <c r="A561" s="21" t="s">
        <v>730</v>
      </c>
      <c r="B561" s="21" t="s">
        <v>90</v>
      </c>
      <c r="C561" s="21" t="s">
        <v>75</v>
      </c>
      <c r="D561" s="21" t="s">
        <v>88</v>
      </c>
      <c r="E561" s="22" t="n">
        <v>16.5</v>
      </c>
      <c r="F561" s="22" t="n">
        <v>25</v>
      </c>
      <c r="G561" s="23" t="n">
        <v>303</v>
      </c>
      <c r="H561" s="23" t="n">
        <v>62</v>
      </c>
      <c r="I561" s="23" t="n">
        <f aca="false">G561-H561</f>
        <v>241</v>
      </c>
      <c r="J561" s="21" t="str">
        <f aca="false">IF(I561&lt;50,"LOW-IN-STOCK","IN-STOCK")</f>
        <v>IN-STOCK</v>
      </c>
      <c r="K561" s="22" t="n">
        <f aca="false">E561*G561</f>
        <v>4999.5</v>
      </c>
      <c r="L561" s="22" t="n">
        <f aca="false">F561*H561</f>
        <v>1550</v>
      </c>
      <c r="M561" s="22" t="n">
        <f aca="false">L561-K561</f>
        <v>-3449.5</v>
      </c>
    </row>
    <row r="562" customFormat="false" ht="15" hidden="false" customHeight="false" outlineLevel="0" collapsed="false">
      <c r="A562" s="21" t="s">
        <v>731</v>
      </c>
      <c r="B562" s="21" t="s">
        <v>246</v>
      </c>
      <c r="C562" s="21" t="s">
        <v>75</v>
      </c>
      <c r="D562" s="21" t="s">
        <v>76</v>
      </c>
      <c r="E562" s="22" t="n">
        <v>14.91</v>
      </c>
      <c r="F562" s="22" t="n">
        <v>22.2</v>
      </c>
      <c r="G562" s="23" t="n">
        <v>162</v>
      </c>
      <c r="H562" s="23" t="n">
        <v>135</v>
      </c>
      <c r="I562" s="23" t="n">
        <f aca="false">G562-H562</f>
        <v>27</v>
      </c>
      <c r="J562" s="21" t="str">
        <f aca="false">IF(I562&lt;50,"LOW-IN-STOCK","IN-STOCK")</f>
        <v>LOW-IN-STOCK</v>
      </c>
      <c r="K562" s="22" t="n">
        <f aca="false">E562*G562</f>
        <v>2415.42</v>
      </c>
      <c r="L562" s="22" t="n">
        <f aca="false">F562*H562</f>
        <v>2997</v>
      </c>
      <c r="M562" s="22" t="n">
        <f aca="false">L562-K562</f>
        <v>581.58</v>
      </c>
    </row>
    <row r="563" customFormat="false" ht="15" hidden="false" customHeight="false" outlineLevel="0" collapsed="false">
      <c r="A563" s="21" t="s">
        <v>732</v>
      </c>
      <c r="B563" s="21" t="s">
        <v>176</v>
      </c>
      <c r="C563" s="21" t="s">
        <v>83</v>
      </c>
      <c r="D563" s="21" t="s">
        <v>114</v>
      </c>
      <c r="E563" s="22" t="n">
        <v>20.92</v>
      </c>
      <c r="F563" s="22" t="n">
        <v>36.8</v>
      </c>
      <c r="G563" s="23" t="n">
        <v>240</v>
      </c>
      <c r="H563" s="23" t="n">
        <v>192</v>
      </c>
      <c r="I563" s="23" t="n">
        <f aca="false">G563-H563</f>
        <v>48</v>
      </c>
      <c r="J563" s="21" t="str">
        <f aca="false">IF(I563&lt;50,"LOW-IN-STOCK","IN-STOCK")</f>
        <v>LOW-IN-STOCK</v>
      </c>
      <c r="K563" s="22" t="n">
        <f aca="false">E563*G563</f>
        <v>5020.8</v>
      </c>
      <c r="L563" s="22" t="n">
        <f aca="false">F563*H563</f>
        <v>7065.6</v>
      </c>
      <c r="M563" s="22" t="n">
        <f aca="false">L563-K563</f>
        <v>2044.8</v>
      </c>
    </row>
    <row r="564" customFormat="false" ht="15" hidden="false" customHeight="false" outlineLevel="0" collapsed="false">
      <c r="A564" s="21" t="s">
        <v>733</v>
      </c>
      <c r="B564" s="21" t="s">
        <v>466</v>
      </c>
      <c r="C564" s="21" t="s">
        <v>79</v>
      </c>
      <c r="D564" s="21" t="s">
        <v>102</v>
      </c>
      <c r="E564" s="22" t="n">
        <v>16.14</v>
      </c>
      <c r="F564" s="22" t="n">
        <v>21.37</v>
      </c>
      <c r="G564" s="23" t="n">
        <v>204</v>
      </c>
      <c r="H564" s="23" t="n">
        <v>93</v>
      </c>
      <c r="I564" s="23" t="n">
        <f aca="false">G564-H564</f>
        <v>111</v>
      </c>
      <c r="J564" s="21" t="str">
        <f aca="false">IF(I564&lt;50,"LOW-IN-STOCK","IN-STOCK")</f>
        <v>IN-STOCK</v>
      </c>
      <c r="K564" s="22" t="n">
        <f aca="false">E564*G564</f>
        <v>3292.56</v>
      </c>
      <c r="L564" s="22" t="n">
        <f aca="false">F564*H564</f>
        <v>1987.41</v>
      </c>
      <c r="M564" s="22" t="n">
        <f aca="false">L564-K564</f>
        <v>-1305.15</v>
      </c>
    </row>
    <row r="565" customFormat="false" ht="15" hidden="false" customHeight="false" outlineLevel="0" collapsed="false">
      <c r="A565" s="21" t="s">
        <v>734</v>
      </c>
      <c r="B565" s="21" t="s">
        <v>411</v>
      </c>
      <c r="C565" s="21" t="s">
        <v>107</v>
      </c>
      <c r="D565" s="21" t="s">
        <v>108</v>
      </c>
      <c r="E565" s="22" t="n">
        <v>3.46</v>
      </c>
      <c r="F565" s="22" t="n">
        <v>6.62</v>
      </c>
      <c r="G565" s="23" t="n">
        <v>160</v>
      </c>
      <c r="H565" s="23" t="n">
        <v>28</v>
      </c>
      <c r="I565" s="23" t="n">
        <f aca="false">G565-H565</f>
        <v>132</v>
      </c>
      <c r="J565" s="21" t="str">
        <f aca="false">IF(I565&lt;50,"LOW-IN-STOCK","IN-STOCK")</f>
        <v>IN-STOCK</v>
      </c>
      <c r="K565" s="22" t="n">
        <f aca="false">E565*G565</f>
        <v>553.6</v>
      </c>
      <c r="L565" s="22" t="n">
        <f aca="false">F565*H565</f>
        <v>185.36</v>
      </c>
      <c r="M565" s="22" t="n">
        <f aca="false">L565-K565</f>
        <v>-368.24</v>
      </c>
    </row>
    <row r="566" customFormat="false" ht="15" hidden="false" customHeight="false" outlineLevel="0" collapsed="false">
      <c r="A566" s="21" t="s">
        <v>735</v>
      </c>
      <c r="B566" s="21" t="s">
        <v>282</v>
      </c>
      <c r="C566" s="21" t="s">
        <v>79</v>
      </c>
      <c r="D566" s="21" t="s">
        <v>114</v>
      </c>
      <c r="E566" s="22" t="n">
        <v>19.13</v>
      </c>
      <c r="F566" s="22" t="n">
        <v>34.11</v>
      </c>
      <c r="G566" s="23" t="n">
        <v>342</v>
      </c>
      <c r="H566" s="23" t="n">
        <v>259</v>
      </c>
      <c r="I566" s="23" t="n">
        <f aca="false">G566-H566</f>
        <v>83</v>
      </c>
      <c r="J566" s="21" t="str">
        <f aca="false">IF(I566&lt;50,"LOW-IN-STOCK","IN-STOCK")</f>
        <v>IN-STOCK</v>
      </c>
      <c r="K566" s="22" t="n">
        <f aca="false">E566*G566</f>
        <v>6542.46</v>
      </c>
      <c r="L566" s="22" t="n">
        <f aca="false">F566*H566</f>
        <v>8834.49</v>
      </c>
      <c r="M566" s="22" t="n">
        <f aca="false">L566-K566</f>
        <v>2292.03</v>
      </c>
    </row>
    <row r="567" customFormat="false" ht="15" hidden="false" customHeight="false" outlineLevel="0" collapsed="false">
      <c r="A567" s="21" t="s">
        <v>736</v>
      </c>
      <c r="B567" s="21" t="s">
        <v>267</v>
      </c>
      <c r="C567" s="21" t="s">
        <v>148</v>
      </c>
      <c r="D567" s="21" t="s">
        <v>88</v>
      </c>
      <c r="E567" s="22" t="n">
        <v>77.45</v>
      </c>
      <c r="F567" s="22" t="n">
        <v>114.95</v>
      </c>
      <c r="G567" s="23" t="n">
        <v>346</v>
      </c>
      <c r="H567" s="23" t="n">
        <v>103</v>
      </c>
      <c r="I567" s="23" t="n">
        <f aca="false">G567-H567</f>
        <v>243</v>
      </c>
      <c r="J567" s="21" t="str">
        <f aca="false">IF(I567&lt;50,"LOW-IN-STOCK","IN-STOCK")</f>
        <v>IN-STOCK</v>
      </c>
      <c r="K567" s="22" t="n">
        <f aca="false">E567*G567</f>
        <v>26797.7</v>
      </c>
      <c r="L567" s="22" t="n">
        <f aca="false">F567*H567</f>
        <v>11839.85</v>
      </c>
      <c r="M567" s="22" t="n">
        <f aca="false">L567-K567</f>
        <v>-14957.85</v>
      </c>
    </row>
    <row r="568" customFormat="false" ht="15" hidden="false" customHeight="false" outlineLevel="0" collapsed="false">
      <c r="A568" s="21" t="s">
        <v>737</v>
      </c>
      <c r="B568" s="21" t="s">
        <v>164</v>
      </c>
      <c r="C568" s="21" t="s">
        <v>93</v>
      </c>
      <c r="D568" s="21" t="s">
        <v>76</v>
      </c>
      <c r="E568" s="22" t="n">
        <v>8.63</v>
      </c>
      <c r="F568" s="22" t="n">
        <v>15.75</v>
      </c>
      <c r="G568" s="23" t="n">
        <v>314</v>
      </c>
      <c r="H568" s="23" t="n">
        <v>75</v>
      </c>
      <c r="I568" s="23" t="n">
        <f aca="false">G568-H568</f>
        <v>239</v>
      </c>
      <c r="J568" s="21" t="str">
        <f aca="false">IF(I568&lt;50,"LOW-IN-STOCK","IN-STOCK")</f>
        <v>IN-STOCK</v>
      </c>
      <c r="K568" s="22" t="n">
        <f aca="false">E568*G568</f>
        <v>2709.82</v>
      </c>
      <c r="L568" s="22" t="n">
        <f aca="false">F568*H568</f>
        <v>1181.25</v>
      </c>
      <c r="M568" s="22" t="n">
        <f aca="false">L568-K568</f>
        <v>-1528.57</v>
      </c>
    </row>
    <row r="569" customFormat="false" ht="15" hidden="false" customHeight="false" outlineLevel="0" collapsed="false">
      <c r="A569" s="21" t="s">
        <v>738</v>
      </c>
      <c r="B569" s="21" t="s">
        <v>235</v>
      </c>
      <c r="C569" s="21" t="s">
        <v>148</v>
      </c>
      <c r="D569" s="21" t="s">
        <v>137</v>
      </c>
      <c r="E569" s="22" t="n">
        <v>18.61</v>
      </c>
      <c r="F569" s="22" t="n">
        <v>39.14</v>
      </c>
      <c r="G569" s="23" t="n">
        <v>233</v>
      </c>
      <c r="H569" s="23" t="n">
        <v>48</v>
      </c>
      <c r="I569" s="23" t="n">
        <f aca="false">G569-H569</f>
        <v>185</v>
      </c>
      <c r="J569" s="21" t="str">
        <f aca="false">IF(I569&lt;50,"LOW-IN-STOCK","IN-STOCK")</f>
        <v>IN-STOCK</v>
      </c>
      <c r="K569" s="22" t="n">
        <f aca="false">E569*G569</f>
        <v>4336.13</v>
      </c>
      <c r="L569" s="22" t="n">
        <f aca="false">F569*H569</f>
        <v>1878.72</v>
      </c>
      <c r="M569" s="22" t="n">
        <f aca="false">L569-K569</f>
        <v>-2457.41</v>
      </c>
    </row>
    <row r="570" customFormat="false" ht="15" hidden="false" customHeight="false" outlineLevel="0" collapsed="false">
      <c r="A570" s="21" t="s">
        <v>739</v>
      </c>
      <c r="B570" s="21" t="s">
        <v>204</v>
      </c>
      <c r="C570" s="21" t="s">
        <v>148</v>
      </c>
      <c r="D570" s="21" t="s">
        <v>108</v>
      </c>
      <c r="E570" s="22" t="n">
        <v>65.83</v>
      </c>
      <c r="F570" s="22" t="n">
        <v>87.36</v>
      </c>
      <c r="G570" s="23" t="n">
        <v>221</v>
      </c>
      <c r="H570" s="23" t="n">
        <v>77</v>
      </c>
      <c r="I570" s="23" t="n">
        <f aca="false">G570-H570</f>
        <v>144</v>
      </c>
      <c r="J570" s="21" t="str">
        <f aca="false">IF(I570&lt;50,"LOW-IN-STOCK","IN-STOCK")</f>
        <v>IN-STOCK</v>
      </c>
      <c r="K570" s="22" t="n">
        <f aca="false">E570*G570</f>
        <v>14548.43</v>
      </c>
      <c r="L570" s="22" t="n">
        <f aca="false">F570*H570</f>
        <v>6726.72</v>
      </c>
      <c r="M570" s="22" t="n">
        <f aca="false">L570-K570</f>
        <v>-7821.71</v>
      </c>
    </row>
    <row r="571" customFormat="false" ht="15" hidden="false" customHeight="false" outlineLevel="0" collapsed="false">
      <c r="A571" s="21" t="s">
        <v>740</v>
      </c>
      <c r="B571" s="21" t="s">
        <v>282</v>
      </c>
      <c r="C571" s="21" t="s">
        <v>79</v>
      </c>
      <c r="D571" s="21" t="s">
        <v>137</v>
      </c>
      <c r="E571" s="22" t="n">
        <v>7.04</v>
      </c>
      <c r="F571" s="22" t="n">
        <v>10.65</v>
      </c>
      <c r="G571" s="23" t="n">
        <v>360</v>
      </c>
      <c r="H571" s="23" t="n">
        <v>38</v>
      </c>
      <c r="I571" s="23" t="n">
        <f aca="false">G571-H571</f>
        <v>322</v>
      </c>
      <c r="J571" s="21" t="str">
        <f aca="false">IF(I571&lt;50,"LOW-IN-STOCK","IN-STOCK")</f>
        <v>IN-STOCK</v>
      </c>
      <c r="K571" s="22" t="n">
        <f aca="false">E571*G571</f>
        <v>2534.4</v>
      </c>
      <c r="L571" s="22" t="n">
        <f aca="false">F571*H571</f>
        <v>404.7</v>
      </c>
      <c r="M571" s="22" t="n">
        <f aca="false">L571-K571</f>
        <v>-2129.7</v>
      </c>
    </row>
    <row r="572" customFormat="false" ht="15" hidden="false" customHeight="false" outlineLevel="0" collapsed="false">
      <c r="A572" s="21" t="s">
        <v>741</v>
      </c>
      <c r="B572" s="21" t="s">
        <v>308</v>
      </c>
      <c r="C572" s="21" t="s">
        <v>87</v>
      </c>
      <c r="D572" s="21" t="s">
        <v>137</v>
      </c>
      <c r="E572" s="22" t="n">
        <v>18.62</v>
      </c>
      <c r="F572" s="22" t="n">
        <v>25.44</v>
      </c>
      <c r="G572" s="23" t="n">
        <v>86</v>
      </c>
      <c r="H572" s="23" t="n">
        <v>19</v>
      </c>
      <c r="I572" s="23" t="n">
        <f aca="false">G572-H572</f>
        <v>67</v>
      </c>
      <c r="J572" s="21" t="str">
        <f aca="false">IF(I572&lt;50,"LOW-IN-STOCK","IN-STOCK")</f>
        <v>IN-STOCK</v>
      </c>
      <c r="K572" s="22" t="n">
        <f aca="false">E572*G572</f>
        <v>1601.32</v>
      </c>
      <c r="L572" s="22" t="n">
        <f aca="false">F572*H572</f>
        <v>483.36</v>
      </c>
      <c r="M572" s="22" t="n">
        <f aca="false">L572-K572</f>
        <v>-1117.96</v>
      </c>
    </row>
    <row r="573" customFormat="false" ht="15" hidden="false" customHeight="false" outlineLevel="0" collapsed="false">
      <c r="A573" s="21" t="s">
        <v>742</v>
      </c>
      <c r="B573" s="21" t="s">
        <v>186</v>
      </c>
      <c r="C573" s="21" t="s">
        <v>83</v>
      </c>
      <c r="D573" s="21" t="s">
        <v>137</v>
      </c>
      <c r="E573" s="22" t="n">
        <v>15.46</v>
      </c>
      <c r="F573" s="22" t="n">
        <v>30.06</v>
      </c>
      <c r="G573" s="23" t="n">
        <v>480</v>
      </c>
      <c r="H573" s="23" t="n">
        <v>171</v>
      </c>
      <c r="I573" s="23" t="n">
        <f aca="false">G573-H573</f>
        <v>309</v>
      </c>
      <c r="J573" s="21" t="str">
        <f aca="false">IF(I573&lt;50,"LOW-IN-STOCK","IN-STOCK")</f>
        <v>IN-STOCK</v>
      </c>
      <c r="K573" s="22" t="n">
        <f aca="false">E573*G573</f>
        <v>7420.8</v>
      </c>
      <c r="L573" s="22" t="n">
        <f aca="false">F573*H573</f>
        <v>5140.26</v>
      </c>
      <c r="M573" s="22" t="n">
        <f aca="false">L573-K573</f>
        <v>-2280.54</v>
      </c>
    </row>
    <row r="574" customFormat="false" ht="15" hidden="false" customHeight="false" outlineLevel="0" collapsed="false">
      <c r="A574" s="21" t="s">
        <v>743</v>
      </c>
      <c r="B574" s="21" t="s">
        <v>229</v>
      </c>
      <c r="C574" s="21" t="s">
        <v>113</v>
      </c>
      <c r="D574" s="21" t="s">
        <v>108</v>
      </c>
      <c r="E574" s="22" t="n">
        <v>34.45</v>
      </c>
      <c r="F574" s="22" t="n">
        <v>62</v>
      </c>
      <c r="G574" s="23" t="n">
        <v>358</v>
      </c>
      <c r="H574" s="23" t="n">
        <v>276</v>
      </c>
      <c r="I574" s="23" t="n">
        <f aca="false">G574-H574</f>
        <v>82</v>
      </c>
      <c r="J574" s="21" t="str">
        <f aca="false">IF(I574&lt;50,"LOW-IN-STOCK","IN-STOCK")</f>
        <v>IN-STOCK</v>
      </c>
      <c r="K574" s="22" t="n">
        <f aca="false">E574*G574</f>
        <v>12333.1</v>
      </c>
      <c r="L574" s="22" t="n">
        <f aca="false">F574*H574</f>
        <v>17112</v>
      </c>
      <c r="M574" s="22" t="n">
        <f aca="false">L574-K574</f>
        <v>4778.9</v>
      </c>
    </row>
    <row r="575" customFormat="false" ht="15" hidden="false" customHeight="false" outlineLevel="0" collapsed="false">
      <c r="A575" s="21" t="s">
        <v>744</v>
      </c>
      <c r="B575" s="21" t="s">
        <v>250</v>
      </c>
      <c r="C575" s="21" t="s">
        <v>79</v>
      </c>
      <c r="D575" s="21" t="s">
        <v>102</v>
      </c>
      <c r="E575" s="22" t="n">
        <v>16.06</v>
      </c>
      <c r="F575" s="22" t="n">
        <v>22.52</v>
      </c>
      <c r="G575" s="23" t="n">
        <v>66</v>
      </c>
      <c r="H575" s="23" t="n">
        <v>31</v>
      </c>
      <c r="I575" s="23" t="n">
        <f aca="false">G575-H575</f>
        <v>35</v>
      </c>
      <c r="J575" s="21" t="str">
        <f aca="false">IF(I575&lt;50,"LOW-IN-STOCK","IN-STOCK")</f>
        <v>LOW-IN-STOCK</v>
      </c>
      <c r="K575" s="22" t="n">
        <f aca="false">E575*G575</f>
        <v>1059.96</v>
      </c>
      <c r="L575" s="22" t="n">
        <f aca="false">F575*H575</f>
        <v>698.12</v>
      </c>
      <c r="M575" s="22" t="n">
        <f aca="false">L575-K575</f>
        <v>-361.84</v>
      </c>
    </row>
    <row r="576" customFormat="false" ht="15" hidden="false" customHeight="false" outlineLevel="0" collapsed="false">
      <c r="A576" s="21" t="s">
        <v>745</v>
      </c>
      <c r="B576" s="21" t="s">
        <v>134</v>
      </c>
      <c r="C576" s="21" t="s">
        <v>83</v>
      </c>
      <c r="D576" s="21" t="s">
        <v>108</v>
      </c>
      <c r="E576" s="22" t="n">
        <v>22.36</v>
      </c>
      <c r="F576" s="22" t="n">
        <v>34.6</v>
      </c>
      <c r="G576" s="23" t="n">
        <v>25</v>
      </c>
      <c r="H576" s="23" t="n">
        <v>6</v>
      </c>
      <c r="I576" s="23" t="n">
        <f aca="false">G576-H576</f>
        <v>19</v>
      </c>
      <c r="J576" s="21" t="str">
        <f aca="false">IF(I576&lt;50,"LOW-IN-STOCK","IN-STOCK")</f>
        <v>LOW-IN-STOCK</v>
      </c>
      <c r="K576" s="22" t="n">
        <f aca="false">E576*G576</f>
        <v>559</v>
      </c>
      <c r="L576" s="22" t="n">
        <f aca="false">F576*H576</f>
        <v>207.6</v>
      </c>
      <c r="M576" s="22" t="n">
        <f aca="false">L576-K576</f>
        <v>-351.4</v>
      </c>
    </row>
    <row r="577" customFormat="false" ht="15" hidden="false" customHeight="false" outlineLevel="0" collapsed="false">
      <c r="A577" s="21" t="s">
        <v>746</v>
      </c>
      <c r="B577" s="21" t="s">
        <v>143</v>
      </c>
      <c r="C577" s="21" t="s">
        <v>107</v>
      </c>
      <c r="D577" s="21" t="s">
        <v>108</v>
      </c>
      <c r="E577" s="22" t="n">
        <v>9.69</v>
      </c>
      <c r="F577" s="22" t="n">
        <v>19.79</v>
      </c>
      <c r="G577" s="23" t="n">
        <v>268</v>
      </c>
      <c r="H577" s="23" t="n">
        <v>174</v>
      </c>
      <c r="I577" s="23" t="n">
        <f aca="false">G577-H577</f>
        <v>94</v>
      </c>
      <c r="J577" s="21" t="str">
        <f aca="false">IF(I577&lt;50,"LOW-IN-STOCK","IN-STOCK")</f>
        <v>IN-STOCK</v>
      </c>
      <c r="K577" s="22" t="n">
        <f aca="false">E577*G577</f>
        <v>2596.92</v>
      </c>
      <c r="L577" s="22" t="n">
        <f aca="false">F577*H577</f>
        <v>3443.46</v>
      </c>
      <c r="M577" s="22" t="n">
        <f aca="false">L577-K577</f>
        <v>846.54</v>
      </c>
    </row>
    <row r="578" customFormat="false" ht="15" hidden="false" customHeight="false" outlineLevel="0" collapsed="false">
      <c r="A578" s="21" t="s">
        <v>747</v>
      </c>
      <c r="B578" s="21" t="s">
        <v>141</v>
      </c>
      <c r="C578" s="21" t="s">
        <v>107</v>
      </c>
      <c r="D578" s="21" t="s">
        <v>137</v>
      </c>
      <c r="E578" s="22" t="n">
        <v>0.95</v>
      </c>
      <c r="F578" s="22" t="n">
        <v>1.49</v>
      </c>
      <c r="G578" s="23" t="n">
        <v>483</v>
      </c>
      <c r="H578" s="23" t="n">
        <v>87</v>
      </c>
      <c r="I578" s="23" t="n">
        <f aca="false">G578-H578</f>
        <v>396</v>
      </c>
      <c r="J578" s="21" t="str">
        <f aca="false">IF(I578&lt;50,"LOW-IN-STOCK","IN-STOCK")</f>
        <v>IN-STOCK</v>
      </c>
      <c r="K578" s="22" t="n">
        <f aca="false">E578*G578</f>
        <v>458.85</v>
      </c>
      <c r="L578" s="22" t="n">
        <f aca="false">F578*H578</f>
        <v>129.63</v>
      </c>
      <c r="M578" s="22" t="n">
        <f aca="false">L578-K578</f>
        <v>-329.22</v>
      </c>
    </row>
    <row r="579" customFormat="false" ht="15" hidden="false" customHeight="false" outlineLevel="0" collapsed="false">
      <c r="A579" s="21" t="s">
        <v>748</v>
      </c>
      <c r="B579" s="21" t="s">
        <v>411</v>
      </c>
      <c r="C579" s="21" t="s">
        <v>107</v>
      </c>
      <c r="D579" s="21" t="s">
        <v>102</v>
      </c>
      <c r="E579" s="22" t="n">
        <v>6.89</v>
      </c>
      <c r="F579" s="22" t="n">
        <v>10.03</v>
      </c>
      <c r="G579" s="23" t="n">
        <v>94</v>
      </c>
      <c r="H579" s="23" t="n">
        <v>71</v>
      </c>
      <c r="I579" s="23" t="n">
        <f aca="false">G579-H579</f>
        <v>23</v>
      </c>
      <c r="J579" s="21" t="str">
        <f aca="false">IF(I579&lt;50,"LOW-IN-STOCK","IN-STOCK")</f>
        <v>LOW-IN-STOCK</v>
      </c>
      <c r="K579" s="22" t="n">
        <f aca="false">E579*G579</f>
        <v>647.66</v>
      </c>
      <c r="L579" s="22" t="n">
        <f aca="false">F579*H579</f>
        <v>712.13</v>
      </c>
      <c r="M579" s="22" t="n">
        <f aca="false">L579-K579</f>
        <v>64.47</v>
      </c>
    </row>
    <row r="580" customFormat="false" ht="15" hidden="false" customHeight="false" outlineLevel="0" collapsed="false">
      <c r="A580" s="21" t="s">
        <v>749</v>
      </c>
      <c r="B580" s="21" t="s">
        <v>204</v>
      </c>
      <c r="C580" s="21" t="s">
        <v>148</v>
      </c>
      <c r="D580" s="21" t="s">
        <v>84</v>
      </c>
      <c r="E580" s="22" t="n">
        <v>67.91</v>
      </c>
      <c r="F580" s="22" t="n">
        <v>106.24</v>
      </c>
      <c r="G580" s="23" t="n">
        <v>284</v>
      </c>
      <c r="H580" s="23" t="n">
        <v>189</v>
      </c>
      <c r="I580" s="23" t="n">
        <f aca="false">G580-H580</f>
        <v>95</v>
      </c>
      <c r="J580" s="21" t="str">
        <f aca="false">IF(I580&lt;50,"LOW-IN-STOCK","IN-STOCK")</f>
        <v>IN-STOCK</v>
      </c>
      <c r="K580" s="22" t="n">
        <f aca="false">E580*G580</f>
        <v>19286.44</v>
      </c>
      <c r="L580" s="22" t="n">
        <f aca="false">F580*H580</f>
        <v>20079.36</v>
      </c>
      <c r="M580" s="22" t="n">
        <f aca="false">L580-K580</f>
        <v>792.920000000002</v>
      </c>
    </row>
    <row r="581" customFormat="false" ht="15" hidden="false" customHeight="false" outlineLevel="0" collapsed="false">
      <c r="A581" s="21" t="s">
        <v>750</v>
      </c>
      <c r="B581" s="21" t="s">
        <v>466</v>
      </c>
      <c r="C581" s="21" t="s">
        <v>79</v>
      </c>
      <c r="D581" s="21" t="s">
        <v>88</v>
      </c>
      <c r="E581" s="22" t="n">
        <v>13.64</v>
      </c>
      <c r="F581" s="22" t="n">
        <v>26.56</v>
      </c>
      <c r="G581" s="23" t="n">
        <v>289</v>
      </c>
      <c r="H581" s="23" t="n">
        <v>61</v>
      </c>
      <c r="I581" s="23" t="n">
        <f aca="false">G581-H581</f>
        <v>228</v>
      </c>
      <c r="J581" s="21" t="str">
        <f aca="false">IF(I581&lt;50,"LOW-IN-STOCK","IN-STOCK")</f>
        <v>IN-STOCK</v>
      </c>
      <c r="K581" s="22" t="n">
        <f aca="false">E581*G581</f>
        <v>3941.96</v>
      </c>
      <c r="L581" s="22" t="n">
        <f aca="false">F581*H581</f>
        <v>1620.16</v>
      </c>
      <c r="M581" s="22" t="n">
        <f aca="false">L581-K581</f>
        <v>-2321.8</v>
      </c>
    </row>
    <row r="582" customFormat="false" ht="15" hidden="false" customHeight="false" outlineLevel="0" collapsed="false">
      <c r="A582" s="21" t="s">
        <v>751</v>
      </c>
      <c r="B582" s="21" t="s">
        <v>104</v>
      </c>
      <c r="C582" s="21" t="s">
        <v>75</v>
      </c>
      <c r="D582" s="21" t="s">
        <v>160</v>
      </c>
      <c r="E582" s="22" t="n">
        <v>7.02</v>
      </c>
      <c r="F582" s="22" t="n">
        <v>14.15</v>
      </c>
      <c r="G582" s="23" t="n">
        <v>450</v>
      </c>
      <c r="H582" s="23" t="n">
        <v>230</v>
      </c>
      <c r="I582" s="23" t="n">
        <f aca="false">G582-H582</f>
        <v>220</v>
      </c>
      <c r="J582" s="21" t="str">
        <f aca="false">IF(I582&lt;50,"LOW-IN-STOCK","IN-STOCK")</f>
        <v>IN-STOCK</v>
      </c>
      <c r="K582" s="22" t="n">
        <f aca="false">E582*G582</f>
        <v>3159</v>
      </c>
      <c r="L582" s="22" t="n">
        <f aca="false">F582*H582</f>
        <v>3254.5</v>
      </c>
      <c r="M582" s="22" t="n">
        <f aca="false">L582-K582</f>
        <v>95.5</v>
      </c>
    </row>
    <row r="583" customFormat="false" ht="15" hidden="false" customHeight="false" outlineLevel="0" collapsed="false">
      <c r="A583" s="21" t="s">
        <v>752</v>
      </c>
      <c r="B583" s="21" t="s">
        <v>216</v>
      </c>
      <c r="C583" s="21" t="s">
        <v>107</v>
      </c>
      <c r="D583" s="21" t="s">
        <v>160</v>
      </c>
      <c r="E583" s="22" t="n">
        <v>7.07</v>
      </c>
      <c r="F583" s="22" t="n">
        <v>12.87</v>
      </c>
      <c r="G583" s="23" t="n">
        <v>481</v>
      </c>
      <c r="H583" s="23" t="n">
        <v>146</v>
      </c>
      <c r="I583" s="23" t="n">
        <f aca="false">G583-H583</f>
        <v>335</v>
      </c>
      <c r="J583" s="21" t="str">
        <f aca="false">IF(I583&lt;50,"LOW-IN-STOCK","IN-STOCK")</f>
        <v>IN-STOCK</v>
      </c>
      <c r="K583" s="22" t="n">
        <f aca="false">E583*G583</f>
        <v>3400.67</v>
      </c>
      <c r="L583" s="22" t="n">
        <f aca="false">F583*H583</f>
        <v>1879.02</v>
      </c>
      <c r="M583" s="22" t="n">
        <f aca="false">L583-K583</f>
        <v>-1521.65</v>
      </c>
    </row>
    <row r="584" customFormat="false" ht="15" hidden="false" customHeight="false" outlineLevel="0" collapsed="false">
      <c r="A584" s="21" t="s">
        <v>753</v>
      </c>
      <c r="B584" s="21" t="s">
        <v>224</v>
      </c>
      <c r="C584" s="21" t="s">
        <v>79</v>
      </c>
      <c r="D584" s="21" t="s">
        <v>80</v>
      </c>
      <c r="E584" s="22" t="n">
        <v>17.54</v>
      </c>
      <c r="F584" s="22" t="n">
        <v>31.71</v>
      </c>
      <c r="G584" s="23" t="n">
        <v>180</v>
      </c>
      <c r="H584" s="23" t="n">
        <v>58</v>
      </c>
      <c r="I584" s="23" t="n">
        <f aca="false">G584-H584</f>
        <v>122</v>
      </c>
      <c r="J584" s="21" t="str">
        <f aca="false">IF(I584&lt;50,"LOW-IN-STOCK","IN-STOCK")</f>
        <v>IN-STOCK</v>
      </c>
      <c r="K584" s="22" t="n">
        <f aca="false">E584*G584</f>
        <v>3157.2</v>
      </c>
      <c r="L584" s="22" t="n">
        <f aca="false">F584*H584</f>
        <v>1839.18</v>
      </c>
      <c r="M584" s="22" t="n">
        <f aca="false">L584-K584</f>
        <v>-1318.02</v>
      </c>
    </row>
    <row r="585" customFormat="false" ht="15" hidden="false" customHeight="false" outlineLevel="0" collapsed="false">
      <c r="A585" s="21" t="s">
        <v>754</v>
      </c>
      <c r="B585" s="21" t="s">
        <v>207</v>
      </c>
      <c r="C585" s="21" t="s">
        <v>93</v>
      </c>
      <c r="D585" s="21" t="s">
        <v>114</v>
      </c>
      <c r="E585" s="22" t="n">
        <v>3.3</v>
      </c>
      <c r="F585" s="22" t="n">
        <v>6.45</v>
      </c>
      <c r="G585" s="23" t="n">
        <v>167</v>
      </c>
      <c r="H585" s="23" t="n">
        <v>115</v>
      </c>
      <c r="I585" s="23" t="n">
        <f aca="false">G585-H585</f>
        <v>52</v>
      </c>
      <c r="J585" s="21" t="str">
        <f aca="false">IF(I585&lt;50,"LOW-IN-STOCK","IN-STOCK")</f>
        <v>IN-STOCK</v>
      </c>
      <c r="K585" s="22" t="n">
        <f aca="false">E585*G585</f>
        <v>551.1</v>
      </c>
      <c r="L585" s="22" t="n">
        <f aca="false">F585*H585</f>
        <v>741.75</v>
      </c>
      <c r="M585" s="22" t="n">
        <f aca="false">L585-K585</f>
        <v>190.65</v>
      </c>
    </row>
    <row r="586" customFormat="false" ht="15" hidden="false" customHeight="false" outlineLevel="0" collapsed="false">
      <c r="A586" s="21" t="s">
        <v>755</v>
      </c>
      <c r="B586" s="21" t="s">
        <v>86</v>
      </c>
      <c r="C586" s="21" t="s">
        <v>87</v>
      </c>
      <c r="D586" s="21" t="s">
        <v>88</v>
      </c>
      <c r="E586" s="22" t="n">
        <v>8.59</v>
      </c>
      <c r="F586" s="22" t="n">
        <v>17.96</v>
      </c>
      <c r="G586" s="23" t="n">
        <v>243</v>
      </c>
      <c r="H586" s="23" t="n">
        <v>166</v>
      </c>
      <c r="I586" s="23" t="n">
        <f aca="false">G586-H586</f>
        <v>77</v>
      </c>
      <c r="J586" s="21" t="str">
        <f aca="false">IF(I586&lt;50,"LOW-IN-STOCK","IN-STOCK")</f>
        <v>IN-STOCK</v>
      </c>
      <c r="K586" s="22" t="n">
        <f aca="false">E586*G586</f>
        <v>2087.37</v>
      </c>
      <c r="L586" s="22" t="n">
        <f aca="false">F586*H586</f>
        <v>2981.36</v>
      </c>
      <c r="M586" s="22" t="n">
        <f aca="false">L586-K586</f>
        <v>893.99</v>
      </c>
    </row>
    <row r="587" customFormat="false" ht="15" hidden="false" customHeight="false" outlineLevel="0" collapsed="false">
      <c r="A587" s="21" t="s">
        <v>756</v>
      </c>
      <c r="B587" s="21" t="s">
        <v>136</v>
      </c>
      <c r="C587" s="21" t="s">
        <v>87</v>
      </c>
      <c r="D587" s="21" t="s">
        <v>80</v>
      </c>
      <c r="E587" s="22" t="n">
        <v>5.69</v>
      </c>
      <c r="F587" s="22" t="n">
        <v>9.05</v>
      </c>
      <c r="G587" s="23" t="n">
        <v>191</v>
      </c>
      <c r="H587" s="23" t="n">
        <v>177</v>
      </c>
      <c r="I587" s="23" t="n">
        <f aca="false">G587-H587</f>
        <v>14</v>
      </c>
      <c r="J587" s="21" t="str">
        <f aca="false">IF(I587&lt;50,"LOW-IN-STOCK","IN-STOCK")</f>
        <v>LOW-IN-STOCK</v>
      </c>
      <c r="K587" s="22" t="n">
        <f aca="false">E587*G587</f>
        <v>1086.79</v>
      </c>
      <c r="L587" s="22" t="n">
        <f aca="false">F587*H587</f>
        <v>1601.85</v>
      </c>
      <c r="M587" s="22" t="n">
        <f aca="false">L587-K587</f>
        <v>515.06</v>
      </c>
    </row>
    <row r="588" customFormat="false" ht="15" hidden="false" customHeight="false" outlineLevel="0" collapsed="false">
      <c r="A588" s="21" t="s">
        <v>757</v>
      </c>
      <c r="B588" s="21" t="s">
        <v>227</v>
      </c>
      <c r="C588" s="21" t="s">
        <v>148</v>
      </c>
      <c r="D588" s="21" t="s">
        <v>84</v>
      </c>
      <c r="E588" s="22" t="n">
        <v>72.36</v>
      </c>
      <c r="F588" s="22" t="n">
        <v>149.33</v>
      </c>
      <c r="G588" s="23" t="n">
        <v>122</v>
      </c>
      <c r="H588" s="23" t="n">
        <v>34</v>
      </c>
      <c r="I588" s="23" t="n">
        <f aca="false">G588-H588</f>
        <v>88</v>
      </c>
      <c r="J588" s="21" t="str">
        <f aca="false">IF(I588&lt;50,"LOW-IN-STOCK","IN-STOCK")</f>
        <v>IN-STOCK</v>
      </c>
      <c r="K588" s="22" t="n">
        <f aca="false">E588*G588</f>
        <v>8827.92</v>
      </c>
      <c r="L588" s="22" t="n">
        <f aca="false">F588*H588</f>
        <v>5077.22</v>
      </c>
      <c r="M588" s="22" t="n">
        <f aca="false">L588-K588</f>
        <v>-3750.7</v>
      </c>
    </row>
    <row r="589" customFormat="false" ht="15" hidden="false" customHeight="false" outlineLevel="0" collapsed="false">
      <c r="A589" s="21" t="s">
        <v>758</v>
      </c>
      <c r="B589" s="21" t="s">
        <v>74</v>
      </c>
      <c r="C589" s="21" t="s">
        <v>75</v>
      </c>
      <c r="D589" s="21" t="s">
        <v>137</v>
      </c>
      <c r="E589" s="22" t="n">
        <v>27.67</v>
      </c>
      <c r="F589" s="22" t="n">
        <v>36.18</v>
      </c>
      <c r="G589" s="23" t="n">
        <v>369</v>
      </c>
      <c r="H589" s="23" t="n">
        <v>106</v>
      </c>
      <c r="I589" s="23" t="n">
        <f aca="false">G589-H589</f>
        <v>263</v>
      </c>
      <c r="J589" s="21" t="str">
        <f aca="false">IF(I589&lt;50,"LOW-IN-STOCK","IN-STOCK")</f>
        <v>IN-STOCK</v>
      </c>
      <c r="K589" s="22" t="n">
        <f aca="false">E589*G589</f>
        <v>10210.23</v>
      </c>
      <c r="L589" s="22" t="n">
        <f aca="false">F589*H589</f>
        <v>3835.08</v>
      </c>
      <c r="M589" s="22" t="n">
        <f aca="false">L589-K589</f>
        <v>-6375.15</v>
      </c>
    </row>
    <row r="590" customFormat="false" ht="15" hidden="false" customHeight="false" outlineLevel="0" collapsed="false">
      <c r="A590" s="21" t="s">
        <v>759</v>
      </c>
      <c r="B590" s="21" t="s">
        <v>152</v>
      </c>
      <c r="C590" s="21" t="s">
        <v>87</v>
      </c>
      <c r="D590" s="21" t="s">
        <v>114</v>
      </c>
      <c r="E590" s="22" t="n">
        <v>21.58</v>
      </c>
      <c r="F590" s="22" t="n">
        <v>42.24</v>
      </c>
      <c r="G590" s="23" t="n">
        <v>452</v>
      </c>
      <c r="H590" s="23" t="n">
        <v>390</v>
      </c>
      <c r="I590" s="23" t="n">
        <f aca="false">G590-H590</f>
        <v>62</v>
      </c>
      <c r="J590" s="21" t="str">
        <f aca="false">IF(I590&lt;50,"LOW-IN-STOCK","IN-STOCK")</f>
        <v>IN-STOCK</v>
      </c>
      <c r="K590" s="22" t="n">
        <f aca="false">E590*G590</f>
        <v>9754.16</v>
      </c>
      <c r="L590" s="22" t="n">
        <f aca="false">F590*H590</f>
        <v>16473.6</v>
      </c>
      <c r="M590" s="22" t="n">
        <f aca="false">L590-K590</f>
        <v>6719.44</v>
      </c>
    </row>
    <row r="591" customFormat="false" ht="15" hidden="false" customHeight="false" outlineLevel="0" collapsed="false">
      <c r="A591" s="21" t="s">
        <v>760</v>
      </c>
      <c r="B591" s="21" t="s">
        <v>147</v>
      </c>
      <c r="C591" s="21" t="s">
        <v>148</v>
      </c>
      <c r="D591" s="21" t="s">
        <v>102</v>
      </c>
      <c r="E591" s="22" t="n">
        <v>5.68</v>
      </c>
      <c r="F591" s="22" t="n">
        <v>8.55</v>
      </c>
      <c r="G591" s="23" t="n">
        <v>479</v>
      </c>
      <c r="H591" s="23" t="n">
        <v>85</v>
      </c>
      <c r="I591" s="23" t="n">
        <f aca="false">G591-H591</f>
        <v>394</v>
      </c>
      <c r="J591" s="21" t="str">
        <f aca="false">IF(I591&lt;50,"LOW-IN-STOCK","IN-STOCK")</f>
        <v>IN-STOCK</v>
      </c>
      <c r="K591" s="22" t="n">
        <f aca="false">E591*G591</f>
        <v>2720.72</v>
      </c>
      <c r="L591" s="22" t="n">
        <f aca="false">F591*H591</f>
        <v>726.75</v>
      </c>
      <c r="M591" s="22" t="n">
        <f aca="false">L591-K591</f>
        <v>-1993.97</v>
      </c>
    </row>
    <row r="592" customFormat="false" ht="15" hidden="false" customHeight="false" outlineLevel="0" collapsed="false">
      <c r="A592" s="21" t="s">
        <v>761</v>
      </c>
      <c r="B592" s="21" t="s">
        <v>145</v>
      </c>
      <c r="C592" s="21" t="s">
        <v>87</v>
      </c>
      <c r="D592" s="21" t="s">
        <v>80</v>
      </c>
      <c r="E592" s="22" t="n">
        <v>13.59</v>
      </c>
      <c r="F592" s="22" t="n">
        <v>20.57</v>
      </c>
      <c r="G592" s="23" t="n">
        <v>164</v>
      </c>
      <c r="H592" s="23" t="n">
        <v>42</v>
      </c>
      <c r="I592" s="23" t="n">
        <f aca="false">G592-H592</f>
        <v>122</v>
      </c>
      <c r="J592" s="21" t="str">
        <f aca="false">IF(I592&lt;50,"LOW-IN-STOCK","IN-STOCK")</f>
        <v>IN-STOCK</v>
      </c>
      <c r="K592" s="22" t="n">
        <f aca="false">E592*G592</f>
        <v>2228.76</v>
      </c>
      <c r="L592" s="22" t="n">
        <f aca="false">F592*H592</f>
        <v>863.94</v>
      </c>
      <c r="M592" s="22" t="n">
        <f aca="false">L592-K592</f>
        <v>-1364.82</v>
      </c>
    </row>
    <row r="593" customFormat="false" ht="15" hidden="false" customHeight="false" outlineLevel="0" collapsed="false">
      <c r="A593" s="21" t="s">
        <v>762</v>
      </c>
      <c r="B593" s="21" t="s">
        <v>174</v>
      </c>
      <c r="C593" s="21" t="s">
        <v>113</v>
      </c>
      <c r="D593" s="21" t="s">
        <v>99</v>
      </c>
      <c r="E593" s="22" t="n">
        <v>21.98</v>
      </c>
      <c r="F593" s="22" t="n">
        <v>39.36</v>
      </c>
      <c r="G593" s="23" t="n">
        <v>292</v>
      </c>
      <c r="H593" s="23" t="n">
        <v>164</v>
      </c>
      <c r="I593" s="23" t="n">
        <f aca="false">G593-H593</f>
        <v>128</v>
      </c>
      <c r="J593" s="21" t="str">
        <f aca="false">IF(I593&lt;50,"LOW-IN-STOCK","IN-STOCK")</f>
        <v>IN-STOCK</v>
      </c>
      <c r="K593" s="22" t="n">
        <f aca="false">E593*G593</f>
        <v>6418.16</v>
      </c>
      <c r="L593" s="22" t="n">
        <f aca="false">F593*H593</f>
        <v>6455.04</v>
      </c>
      <c r="M593" s="22" t="n">
        <f aca="false">L593-K593</f>
        <v>36.8800000000001</v>
      </c>
    </row>
    <row r="594" customFormat="false" ht="15" hidden="false" customHeight="false" outlineLevel="0" collapsed="false">
      <c r="A594" s="21" t="s">
        <v>763</v>
      </c>
      <c r="B594" s="21" t="s">
        <v>359</v>
      </c>
      <c r="C594" s="21" t="s">
        <v>75</v>
      </c>
      <c r="D594" s="21" t="s">
        <v>84</v>
      </c>
      <c r="E594" s="22" t="n">
        <v>2.38</v>
      </c>
      <c r="F594" s="22" t="n">
        <v>4.92</v>
      </c>
      <c r="G594" s="23" t="n">
        <v>357</v>
      </c>
      <c r="H594" s="23" t="n">
        <v>262</v>
      </c>
      <c r="I594" s="23" t="n">
        <f aca="false">G594-H594</f>
        <v>95</v>
      </c>
      <c r="J594" s="21" t="str">
        <f aca="false">IF(I594&lt;50,"LOW-IN-STOCK","IN-STOCK")</f>
        <v>IN-STOCK</v>
      </c>
      <c r="K594" s="22" t="n">
        <f aca="false">E594*G594</f>
        <v>849.66</v>
      </c>
      <c r="L594" s="22" t="n">
        <f aca="false">F594*H594</f>
        <v>1289.04</v>
      </c>
      <c r="M594" s="22" t="n">
        <f aca="false">L594-K594</f>
        <v>439.38</v>
      </c>
    </row>
    <row r="595" customFormat="false" ht="15" hidden="false" customHeight="false" outlineLevel="0" collapsed="false">
      <c r="A595" s="21" t="s">
        <v>764</v>
      </c>
      <c r="B595" s="21" t="s">
        <v>246</v>
      </c>
      <c r="C595" s="21" t="s">
        <v>75</v>
      </c>
      <c r="D595" s="21" t="s">
        <v>88</v>
      </c>
      <c r="E595" s="22" t="n">
        <v>21.28</v>
      </c>
      <c r="F595" s="22" t="n">
        <v>45.74</v>
      </c>
      <c r="G595" s="23" t="n">
        <v>83</v>
      </c>
      <c r="H595" s="23" t="n">
        <v>54</v>
      </c>
      <c r="I595" s="23" t="n">
        <f aca="false">G595-H595</f>
        <v>29</v>
      </c>
      <c r="J595" s="21" t="str">
        <f aca="false">IF(I595&lt;50,"LOW-IN-STOCK","IN-STOCK")</f>
        <v>LOW-IN-STOCK</v>
      </c>
      <c r="K595" s="22" t="n">
        <f aca="false">E595*G595</f>
        <v>1766.24</v>
      </c>
      <c r="L595" s="22" t="n">
        <f aca="false">F595*H595</f>
        <v>2469.96</v>
      </c>
      <c r="M595" s="22" t="n">
        <f aca="false">L595-K595</f>
        <v>703.72</v>
      </c>
    </row>
    <row r="596" customFormat="false" ht="15" hidden="false" customHeight="false" outlineLevel="0" collapsed="false">
      <c r="A596" s="21" t="s">
        <v>765</v>
      </c>
      <c r="B596" s="21" t="s">
        <v>466</v>
      </c>
      <c r="C596" s="21" t="s">
        <v>79</v>
      </c>
      <c r="D596" s="21" t="s">
        <v>102</v>
      </c>
      <c r="E596" s="22" t="n">
        <v>17.9</v>
      </c>
      <c r="F596" s="22" t="n">
        <v>25.67</v>
      </c>
      <c r="G596" s="23" t="n">
        <v>487</v>
      </c>
      <c r="H596" s="23" t="n">
        <v>165</v>
      </c>
      <c r="I596" s="23" t="n">
        <f aca="false">G596-H596</f>
        <v>322</v>
      </c>
      <c r="J596" s="21" t="str">
        <f aca="false">IF(I596&lt;50,"LOW-IN-STOCK","IN-STOCK")</f>
        <v>IN-STOCK</v>
      </c>
      <c r="K596" s="22" t="n">
        <f aca="false">E596*G596</f>
        <v>8717.3</v>
      </c>
      <c r="L596" s="22" t="n">
        <f aca="false">F596*H596</f>
        <v>4235.55</v>
      </c>
      <c r="M596" s="22" t="n">
        <f aca="false">L596-K596</f>
        <v>-4481.75</v>
      </c>
    </row>
    <row r="597" customFormat="false" ht="15" hidden="false" customHeight="false" outlineLevel="0" collapsed="false">
      <c r="A597" s="21" t="s">
        <v>766</v>
      </c>
      <c r="B597" s="21" t="s">
        <v>243</v>
      </c>
      <c r="C597" s="21" t="s">
        <v>113</v>
      </c>
      <c r="D597" s="21" t="s">
        <v>88</v>
      </c>
      <c r="E597" s="22" t="n">
        <v>8.07</v>
      </c>
      <c r="F597" s="22" t="n">
        <v>11.59</v>
      </c>
      <c r="G597" s="23" t="n">
        <v>179</v>
      </c>
      <c r="H597" s="23" t="n">
        <v>86</v>
      </c>
      <c r="I597" s="23" t="n">
        <f aca="false">G597-H597</f>
        <v>93</v>
      </c>
      <c r="J597" s="21" t="str">
        <f aca="false">IF(I597&lt;50,"LOW-IN-STOCK","IN-STOCK")</f>
        <v>IN-STOCK</v>
      </c>
      <c r="K597" s="22" t="n">
        <f aca="false">E597*G597</f>
        <v>1444.53</v>
      </c>
      <c r="L597" s="22" t="n">
        <f aca="false">F597*H597</f>
        <v>996.74</v>
      </c>
      <c r="M597" s="22" t="n">
        <f aca="false">L597-K597</f>
        <v>-447.79</v>
      </c>
    </row>
    <row r="598" customFormat="false" ht="15" hidden="false" customHeight="false" outlineLevel="0" collapsed="false">
      <c r="A598" s="21" t="s">
        <v>767</v>
      </c>
      <c r="B598" s="21" t="s">
        <v>246</v>
      </c>
      <c r="C598" s="21" t="s">
        <v>75</v>
      </c>
      <c r="D598" s="21" t="s">
        <v>99</v>
      </c>
      <c r="E598" s="22" t="n">
        <v>17.51</v>
      </c>
      <c r="F598" s="22" t="n">
        <v>24.08</v>
      </c>
      <c r="G598" s="23" t="n">
        <v>321</v>
      </c>
      <c r="H598" s="23" t="n">
        <v>121</v>
      </c>
      <c r="I598" s="23" t="n">
        <f aca="false">G598-H598</f>
        <v>200</v>
      </c>
      <c r="J598" s="21" t="str">
        <f aca="false">IF(I598&lt;50,"LOW-IN-STOCK","IN-STOCK")</f>
        <v>IN-STOCK</v>
      </c>
      <c r="K598" s="22" t="n">
        <f aca="false">E598*G598</f>
        <v>5620.71</v>
      </c>
      <c r="L598" s="22" t="n">
        <f aca="false">F598*H598</f>
        <v>2913.68</v>
      </c>
      <c r="M598" s="22" t="n">
        <f aca="false">L598-K598</f>
        <v>-2707.03</v>
      </c>
    </row>
    <row r="599" customFormat="false" ht="15" hidden="false" customHeight="false" outlineLevel="0" collapsed="false">
      <c r="A599" s="21" t="s">
        <v>768</v>
      </c>
      <c r="B599" s="21" t="s">
        <v>211</v>
      </c>
      <c r="C599" s="21" t="s">
        <v>113</v>
      </c>
      <c r="D599" s="21" t="s">
        <v>80</v>
      </c>
      <c r="E599" s="22" t="n">
        <v>31.12</v>
      </c>
      <c r="F599" s="22" t="n">
        <v>66.94</v>
      </c>
      <c r="G599" s="23" t="n">
        <v>31</v>
      </c>
      <c r="H599" s="23" t="n">
        <v>21</v>
      </c>
      <c r="I599" s="23" t="n">
        <f aca="false">G599-H599</f>
        <v>10</v>
      </c>
      <c r="J599" s="21" t="str">
        <f aca="false">IF(I599&lt;50,"LOW-IN-STOCK","IN-STOCK")</f>
        <v>LOW-IN-STOCK</v>
      </c>
      <c r="K599" s="22" t="n">
        <f aca="false">E599*G599</f>
        <v>964.72</v>
      </c>
      <c r="L599" s="22" t="n">
        <f aca="false">F599*H599</f>
        <v>1405.74</v>
      </c>
      <c r="M599" s="22" t="n">
        <f aca="false">L599-K599</f>
        <v>441.02</v>
      </c>
    </row>
    <row r="600" customFormat="false" ht="15" hidden="false" customHeight="false" outlineLevel="0" collapsed="false">
      <c r="A600" s="21" t="s">
        <v>769</v>
      </c>
      <c r="B600" s="21" t="s">
        <v>110</v>
      </c>
      <c r="C600" s="21" t="s">
        <v>93</v>
      </c>
      <c r="D600" s="21" t="s">
        <v>114</v>
      </c>
      <c r="E600" s="22" t="n">
        <v>10.99</v>
      </c>
      <c r="F600" s="22" t="n">
        <v>17.55</v>
      </c>
      <c r="G600" s="23" t="n">
        <v>442</v>
      </c>
      <c r="H600" s="23" t="n">
        <v>73</v>
      </c>
      <c r="I600" s="23" t="n">
        <f aca="false">G600-H600</f>
        <v>369</v>
      </c>
      <c r="J600" s="21" t="str">
        <f aca="false">IF(I600&lt;50,"LOW-IN-STOCK","IN-STOCK")</f>
        <v>IN-STOCK</v>
      </c>
      <c r="K600" s="22" t="n">
        <f aca="false">E600*G600</f>
        <v>4857.58</v>
      </c>
      <c r="L600" s="22" t="n">
        <f aca="false">F600*H600</f>
        <v>1281.15</v>
      </c>
      <c r="M600" s="22" t="n">
        <f aca="false">L600-K600</f>
        <v>-3576.43</v>
      </c>
    </row>
    <row r="601" customFormat="false" ht="15" hidden="false" customHeight="false" outlineLevel="0" collapsed="false">
      <c r="A601" s="21" t="s">
        <v>770</v>
      </c>
      <c r="B601" s="21" t="s">
        <v>132</v>
      </c>
      <c r="C601" s="21" t="s">
        <v>87</v>
      </c>
      <c r="D601" s="21" t="s">
        <v>114</v>
      </c>
      <c r="E601" s="22" t="n">
        <v>16.82</v>
      </c>
      <c r="F601" s="22" t="n">
        <v>28.96</v>
      </c>
      <c r="G601" s="23" t="n">
        <v>162</v>
      </c>
      <c r="H601" s="23" t="n">
        <v>112</v>
      </c>
      <c r="I601" s="23" t="n">
        <f aca="false">G601-H601</f>
        <v>50</v>
      </c>
      <c r="J601" s="21" t="str">
        <f aca="false">IF(I601&lt;50,"LOW-IN-STOCK","IN-STOCK")</f>
        <v>IN-STOCK</v>
      </c>
      <c r="K601" s="22" t="n">
        <f aca="false">E601*G601</f>
        <v>2724.84</v>
      </c>
      <c r="L601" s="22" t="n">
        <f aca="false">F601*H601</f>
        <v>3243.52</v>
      </c>
      <c r="M601" s="22" t="n">
        <f aca="false">L601-K601</f>
        <v>518.68</v>
      </c>
    </row>
    <row r="602" customFormat="false" ht="15" hidden="false" customHeight="false" outlineLevel="0" collapsed="false">
      <c r="A602" s="21" t="s">
        <v>771</v>
      </c>
      <c r="B602" s="21" t="s">
        <v>204</v>
      </c>
      <c r="C602" s="21" t="s">
        <v>148</v>
      </c>
      <c r="D602" s="21" t="s">
        <v>108</v>
      </c>
      <c r="E602" s="22" t="n">
        <v>71.75</v>
      </c>
      <c r="F602" s="22" t="n">
        <v>130.69</v>
      </c>
      <c r="G602" s="23" t="n">
        <v>360</v>
      </c>
      <c r="H602" s="23" t="n">
        <v>92</v>
      </c>
      <c r="I602" s="23" t="n">
        <f aca="false">G602-H602</f>
        <v>268</v>
      </c>
      <c r="J602" s="21" t="str">
        <f aca="false">IF(I602&lt;50,"LOW-IN-STOCK","IN-STOCK")</f>
        <v>IN-STOCK</v>
      </c>
      <c r="K602" s="22" t="n">
        <f aca="false">E602*G602</f>
        <v>25830</v>
      </c>
      <c r="L602" s="22" t="n">
        <f aca="false">F602*H602</f>
        <v>12023.48</v>
      </c>
      <c r="M602" s="22" t="n">
        <f aca="false">L602-K602</f>
        <v>-13806.52</v>
      </c>
    </row>
    <row r="603" customFormat="false" ht="15" hidden="false" customHeight="false" outlineLevel="0" collapsed="false">
      <c r="A603" s="21" t="s">
        <v>772</v>
      </c>
      <c r="B603" s="21" t="s">
        <v>239</v>
      </c>
      <c r="C603" s="21" t="s">
        <v>113</v>
      </c>
      <c r="D603" s="21" t="s">
        <v>76</v>
      </c>
      <c r="E603" s="22" t="n">
        <v>19.1</v>
      </c>
      <c r="F603" s="22" t="n">
        <v>34.09</v>
      </c>
      <c r="G603" s="23" t="n">
        <v>279</v>
      </c>
      <c r="H603" s="23" t="n">
        <v>66</v>
      </c>
      <c r="I603" s="23" t="n">
        <f aca="false">G603-H603</f>
        <v>213</v>
      </c>
      <c r="J603" s="21" t="str">
        <f aca="false">IF(I603&lt;50,"LOW-IN-STOCK","IN-STOCK")</f>
        <v>IN-STOCK</v>
      </c>
      <c r="K603" s="22" t="n">
        <f aca="false">E603*G603</f>
        <v>5328.9</v>
      </c>
      <c r="L603" s="22" t="n">
        <f aca="false">F603*H603</f>
        <v>2249.94</v>
      </c>
      <c r="M603" s="22" t="n">
        <f aca="false">L603-K603</f>
        <v>-3078.96</v>
      </c>
    </row>
    <row r="604" customFormat="false" ht="15" hidden="false" customHeight="false" outlineLevel="0" collapsed="false">
      <c r="A604" s="21" t="s">
        <v>773</v>
      </c>
      <c r="B604" s="21" t="s">
        <v>90</v>
      </c>
      <c r="C604" s="21" t="s">
        <v>75</v>
      </c>
      <c r="D604" s="21" t="s">
        <v>80</v>
      </c>
      <c r="E604" s="22" t="n">
        <v>3.44</v>
      </c>
      <c r="F604" s="22" t="n">
        <v>7.12</v>
      </c>
      <c r="G604" s="23" t="n">
        <v>464</v>
      </c>
      <c r="H604" s="23" t="n">
        <v>279</v>
      </c>
      <c r="I604" s="23" t="n">
        <f aca="false">G604-H604</f>
        <v>185</v>
      </c>
      <c r="J604" s="21" t="str">
        <f aca="false">IF(I604&lt;50,"LOW-IN-STOCK","IN-STOCK")</f>
        <v>IN-STOCK</v>
      </c>
      <c r="K604" s="22" t="n">
        <f aca="false">E604*G604</f>
        <v>1596.16</v>
      </c>
      <c r="L604" s="22" t="n">
        <f aca="false">F604*H604</f>
        <v>1986.48</v>
      </c>
      <c r="M604" s="22" t="n">
        <f aca="false">L604-K604</f>
        <v>390.32</v>
      </c>
    </row>
    <row r="605" customFormat="false" ht="15" hidden="false" customHeight="false" outlineLevel="0" collapsed="false">
      <c r="A605" s="21" t="s">
        <v>774</v>
      </c>
      <c r="B605" s="21" t="s">
        <v>78</v>
      </c>
      <c r="C605" s="21" t="s">
        <v>79</v>
      </c>
      <c r="D605" s="21" t="s">
        <v>160</v>
      </c>
      <c r="E605" s="22" t="n">
        <v>7.33</v>
      </c>
      <c r="F605" s="22" t="n">
        <v>15.9</v>
      </c>
      <c r="G605" s="23" t="n">
        <v>260</v>
      </c>
      <c r="H605" s="23" t="n">
        <v>239</v>
      </c>
      <c r="I605" s="23" t="n">
        <f aca="false">G605-H605</f>
        <v>21</v>
      </c>
      <c r="J605" s="21" t="str">
        <f aca="false">IF(I605&lt;50,"LOW-IN-STOCK","IN-STOCK")</f>
        <v>LOW-IN-STOCK</v>
      </c>
      <c r="K605" s="22" t="n">
        <f aca="false">E605*G605</f>
        <v>1905.8</v>
      </c>
      <c r="L605" s="22" t="n">
        <f aca="false">F605*H605</f>
        <v>3800.1</v>
      </c>
      <c r="M605" s="22" t="n">
        <f aca="false">L605-K605</f>
        <v>1894.3</v>
      </c>
    </row>
    <row r="606" customFormat="false" ht="15" hidden="false" customHeight="false" outlineLevel="0" collapsed="false">
      <c r="A606" s="21" t="s">
        <v>775</v>
      </c>
      <c r="B606" s="21" t="s">
        <v>126</v>
      </c>
      <c r="C606" s="21" t="s">
        <v>79</v>
      </c>
      <c r="D606" s="21" t="s">
        <v>88</v>
      </c>
      <c r="E606" s="22" t="n">
        <v>2.76</v>
      </c>
      <c r="F606" s="22" t="n">
        <v>5.65</v>
      </c>
      <c r="G606" s="23" t="n">
        <v>132</v>
      </c>
      <c r="H606" s="23" t="n">
        <v>48</v>
      </c>
      <c r="I606" s="23" t="n">
        <f aca="false">G606-H606</f>
        <v>84</v>
      </c>
      <c r="J606" s="21" t="str">
        <f aca="false">IF(I606&lt;50,"LOW-IN-STOCK","IN-STOCK")</f>
        <v>IN-STOCK</v>
      </c>
      <c r="K606" s="22" t="n">
        <f aca="false">E606*G606</f>
        <v>364.32</v>
      </c>
      <c r="L606" s="22" t="n">
        <f aca="false">F606*H606</f>
        <v>271.2</v>
      </c>
      <c r="M606" s="22" t="n">
        <f aca="false">L606-K606</f>
        <v>-93.12</v>
      </c>
    </row>
    <row r="607" customFormat="false" ht="15" hidden="false" customHeight="false" outlineLevel="0" collapsed="false">
      <c r="A607" s="21" t="s">
        <v>776</v>
      </c>
      <c r="B607" s="21" t="s">
        <v>227</v>
      </c>
      <c r="C607" s="21" t="s">
        <v>148</v>
      </c>
      <c r="D607" s="21" t="s">
        <v>114</v>
      </c>
      <c r="E607" s="22" t="n">
        <v>46.1</v>
      </c>
      <c r="F607" s="22" t="n">
        <v>95.51</v>
      </c>
      <c r="G607" s="23" t="n">
        <v>188</v>
      </c>
      <c r="H607" s="23" t="n">
        <v>177</v>
      </c>
      <c r="I607" s="23" t="n">
        <f aca="false">G607-H607</f>
        <v>11</v>
      </c>
      <c r="J607" s="21" t="str">
        <f aca="false">IF(I607&lt;50,"LOW-IN-STOCK","IN-STOCK")</f>
        <v>LOW-IN-STOCK</v>
      </c>
      <c r="K607" s="22" t="n">
        <f aca="false">E607*G607</f>
        <v>8666.8</v>
      </c>
      <c r="L607" s="22" t="n">
        <f aca="false">F607*H607</f>
        <v>16905.27</v>
      </c>
      <c r="M607" s="22" t="n">
        <f aca="false">L607-K607</f>
        <v>8238.47</v>
      </c>
    </row>
    <row r="608" customFormat="false" ht="15" hidden="false" customHeight="false" outlineLevel="0" collapsed="false">
      <c r="A608" s="21" t="s">
        <v>777</v>
      </c>
      <c r="B608" s="21" t="s">
        <v>147</v>
      </c>
      <c r="C608" s="21" t="s">
        <v>148</v>
      </c>
      <c r="D608" s="21" t="s">
        <v>88</v>
      </c>
      <c r="E608" s="22" t="n">
        <v>37.78</v>
      </c>
      <c r="F608" s="22" t="n">
        <v>53.51</v>
      </c>
      <c r="G608" s="23" t="n">
        <v>159</v>
      </c>
      <c r="H608" s="23" t="n">
        <v>55</v>
      </c>
      <c r="I608" s="23" t="n">
        <f aca="false">G608-H608</f>
        <v>104</v>
      </c>
      <c r="J608" s="21" t="str">
        <f aca="false">IF(I608&lt;50,"LOW-IN-STOCK","IN-STOCK")</f>
        <v>IN-STOCK</v>
      </c>
      <c r="K608" s="22" t="n">
        <f aca="false">E608*G608</f>
        <v>6007.02</v>
      </c>
      <c r="L608" s="22" t="n">
        <f aca="false">F608*H608</f>
        <v>2943.05</v>
      </c>
      <c r="M608" s="22" t="n">
        <f aca="false">L608-K608</f>
        <v>-3063.97</v>
      </c>
    </row>
    <row r="609" customFormat="false" ht="15" hidden="false" customHeight="false" outlineLevel="0" collapsed="false">
      <c r="A609" s="21" t="s">
        <v>778</v>
      </c>
      <c r="B609" s="21" t="s">
        <v>176</v>
      </c>
      <c r="C609" s="21" t="s">
        <v>83</v>
      </c>
      <c r="D609" s="21" t="s">
        <v>80</v>
      </c>
      <c r="E609" s="22" t="n">
        <v>14.25</v>
      </c>
      <c r="F609" s="22" t="n">
        <v>30.58</v>
      </c>
      <c r="G609" s="23" t="n">
        <v>379</v>
      </c>
      <c r="H609" s="23" t="n">
        <v>333</v>
      </c>
      <c r="I609" s="23" t="n">
        <f aca="false">G609-H609</f>
        <v>46</v>
      </c>
      <c r="J609" s="21" t="str">
        <f aca="false">IF(I609&lt;50,"LOW-IN-STOCK","IN-STOCK")</f>
        <v>LOW-IN-STOCK</v>
      </c>
      <c r="K609" s="22" t="n">
        <f aca="false">E609*G609</f>
        <v>5400.75</v>
      </c>
      <c r="L609" s="22" t="n">
        <f aca="false">F609*H609</f>
        <v>10183.14</v>
      </c>
      <c r="M609" s="22" t="n">
        <f aca="false">L609-K609</f>
        <v>4782.39</v>
      </c>
    </row>
    <row r="610" customFormat="false" ht="15" hidden="false" customHeight="false" outlineLevel="0" collapsed="false">
      <c r="A610" s="21" t="s">
        <v>779</v>
      </c>
      <c r="B610" s="21" t="s">
        <v>154</v>
      </c>
      <c r="C610" s="21" t="s">
        <v>93</v>
      </c>
      <c r="D610" s="21" t="s">
        <v>160</v>
      </c>
      <c r="E610" s="22" t="n">
        <v>10.4</v>
      </c>
      <c r="F610" s="22" t="n">
        <v>19.63</v>
      </c>
      <c r="G610" s="23" t="n">
        <v>388</v>
      </c>
      <c r="H610" s="23" t="n">
        <v>96</v>
      </c>
      <c r="I610" s="23" t="n">
        <f aca="false">G610-H610</f>
        <v>292</v>
      </c>
      <c r="J610" s="21" t="str">
        <f aca="false">IF(I610&lt;50,"LOW-IN-STOCK","IN-STOCK")</f>
        <v>IN-STOCK</v>
      </c>
      <c r="K610" s="22" t="n">
        <f aca="false">E610*G610</f>
        <v>4035.2</v>
      </c>
      <c r="L610" s="22" t="n">
        <f aca="false">F610*H610</f>
        <v>1884.48</v>
      </c>
      <c r="M610" s="22" t="n">
        <f aca="false">L610-K610</f>
        <v>-2150.72</v>
      </c>
    </row>
    <row r="611" customFormat="false" ht="15" hidden="false" customHeight="false" outlineLevel="0" collapsed="false">
      <c r="A611" s="21" t="s">
        <v>780</v>
      </c>
      <c r="B611" s="21" t="s">
        <v>195</v>
      </c>
      <c r="C611" s="21" t="s">
        <v>79</v>
      </c>
      <c r="D611" s="21" t="s">
        <v>88</v>
      </c>
      <c r="E611" s="22" t="n">
        <v>6.09</v>
      </c>
      <c r="F611" s="22" t="n">
        <v>12.65</v>
      </c>
      <c r="G611" s="23" t="n">
        <v>450</v>
      </c>
      <c r="H611" s="23" t="n">
        <v>67</v>
      </c>
      <c r="I611" s="23" t="n">
        <f aca="false">G611-H611</f>
        <v>383</v>
      </c>
      <c r="J611" s="21" t="str">
        <f aca="false">IF(I611&lt;50,"LOW-IN-STOCK","IN-STOCK")</f>
        <v>IN-STOCK</v>
      </c>
      <c r="K611" s="22" t="n">
        <f aca="false">E611*G611</f>
        <v>2740.5</v>
      </c>
      <c r="L611" s="22" t="n">
        <f aca="false">F611*H611</f>
        <v>847.55</v>
      </c>
      <c r="M611" s="22" t="n">
        <f aca="false">L611-K611</f>
        <v>-1892.95</v>
      </c>
    </row>
    <row r="612" customFormat="false" ht="15" hidden="false" customHeight="false" outlineLevel="0" collapsed="false">
      <c r="A612" s="21" t="s">
        <v>781</v>
      </c>
      <c r="B612" s="21" t="s">
        <v>213</v>
      </c>
      <c r="C612" s="21" t="s">
        <v>87</v>
      </c>
      <c r="D612" s="21" t="s">
        <v>137</v>
      </c>
      <c r="E612" s="22" t="n">
        <v>22.26</v>
      </c>
      <c r="F612" s="22" t="n">
        <v>46.58</v>
      </c>
      <c r="G612" s="23" t="n">
        <v>218</v>
      </c>
      <c r="H612" s="23" t="n">
        <v>44</v>
      </c>
      <c r="I612" s="23" t="n">
        <f aca="false">G612-H612</f>
        <v>174</v>
      </c>
      <c r="J612" s="21" t="str">
        <f aca="false">IF(I612&lt;50,"LOW-IN-STOCK","IN-STOCK")</f>
        <v>IN-STOCK</v>
      </c>
      <c r="K612" s="22" t="n">
        <f aca="false">E612*G612</f>
        <v>4852.68</v>
      </c>
      <c r="L612" s="22" t="n">
        <f aca="false">F612*H612</f>
        <v>2049.52</v>
      </c>
      <c r="M612" s="22" t="n">
        <f aca="false">L612-K612</f>
        <v>-2803.16</v>
      </c>
    </row>
    <row r="613" customFormat="false" ht="15" hidden="false" customHeight="false" outlineLevel="0" collapsed="false">
      <c r="A613" s="21" t="s">
        <v>782</v>
      </c>
      <c r="B613" s="21" t="s">
        <v>101</v>
      </c>
      <c r="C613" s="21" t="s">
        <v>83</v>
      </c>
      <c r="D613" s="21" t="s">
        <v>102</v>
      </c>
      <c r="E613" s="22" t="n">
        <v>20.13</v>
      </c>
      <c r="F613" s="22" t="n">
        <v>35.55</v>
      </c>
      <c r="G613" s="23" t="n">
        <v>312</v>
      </c>
      <c r="H613" s="23" t="n">
        <v>71</v>
      </c>
      <c r="I613" s="23" t="n">
        <f aca="false">G613-H613</f>
        <v>241</v>
      </c>
      <c r="J613" s="21" t="str">
        <f aca="false">IF(I613&lt;50,"LOW-IN-STOCK","IN-STOCK")</f>
        <v>IN-STOCK</v>
      </c>
      <c r="K613" s="22" t="n">
        <f aca="false">E613*G613</f>
        <v>6280.56</v>
      </c>
      <c r="L613" s="22" t="n">
        <f aca="false">F613*H613</f>
        <v>2524.05</v>
      </c>
      <c r="M613" s="22" t="n">
        <f aca="false">L613-K613</f>
        <v>-3756.51</v>
      </c>
    </row>
    <row r="614" customFormat="false" ht="15" hidden="false" customHeight="false" outlineLevel="0" collapsed="false">
      <c r="A614" s="21" t="s">
        <v>783</v>
      </c>
      <c r="B614" s="21" t="s">
        <v>145</v>
      </c>
      <c r="C614" s="21" t="s">
        <v>87</v>
      </c>
      <c r="D614" s="21" t="s">
        <v>102</v>
      </c>
      <c r="E614" s="22" t="n">
        <v>14.03</v>
      </c>
      <c r="F614" s="22" t="n">
        <v>20.66</v>
      </c>
      <c r="G614" s="23" t="n">
        <v>81</v>
      </c>
      <c r="H614" s="23" t="n">
        <v>53</v>
      </c>
      <c r="I614" s="23" t="n">
        <f aca="false">G614-H614</f>
        <v>28</v>
      </c>
      <c r="J614" s="21" t="str">
        <f aca="false">IF(I614&lt;50,"LOW-IN-STOCK","IN-STOCK")</f>
        <v>LOW-IN-STOCK</v>
      </c>
      <c r="K614" s="22" t="n">
        <f aca="false">E614*G614</f>
        <v>1136.43</v>
      </c>
      <c r="L614" s="22" t="n">
        <f aca="false">F614*H614</f>
        <v>1094.98</v>
      </c>
      <c r="M614" s="22" t="n">
        <f aca="false">L614-K614</f>
        <v>-41.4499999999998</v>
      </c>
    </row>
    <row r="615" customFormat="false" ht="15" hidden="false" customHeight="false" outlineLevel="0" collapsed="false">
      <c r="A615" s="21" t="s">
        <v>784</v>
      </c>
      <c r="B615" s="21" t="s">
        <v>106</v>
      </c>
      <c r="C615" s="21" t="s">
        <v>107</v>
      </c>
      <c r="D615" s="21" t="s">
        <v>114</v>
      </c>
      <c r="E615" s="22" t="n">
        <v>13.94</v>
      </c>
      <c r="F615" s="22" t="n">
        <v>22.45</v>
      </c>
      <c r="G615" s="23" t="n">
        <v>201</v>
      </c>
      <c r="H615" s="23" t="n">
        <v>52</v>
      </c>
      <c r="I615" s="23" t="n">
        <f aca="false">G615-H615</f>
        <v>149</v>
      </c>
      <c r="J615" s="21" t="str">
        <f aca="false">IF(I615&lt;50,"LOW-IN-STOCK","IN-STOCK")</f>
        <v>IN-STOCK</v>
      </c>
      <c r="K615" s="22" t="n">
        <f aca="false">E615*G615</f>
        <v>2801.94</v>
      </c>
      <c r="L615" s="22" t="n">
        <f aca="false">F615*H615</f>
        <v>1167.4</v>
      </c>
      <c r="M615" s="22" t="n">
        <f aca="false">L615-K615</f>
        <v>-1634.54</v>
      </c>
    </row>
    <row r="616" customFormat="false" ht="15" hidden="false" customHeight="false" outlineLevel="0" collapsed="false">
      <c r="A616" s="21" t="s">
        <v>785</v>
      </c>
      <c r="B616" s="21" t="s">
        <v>170</v>
      </c>
      <c r="C616" s="21" t="s">
        <v>87</v>
      </c>
      <c r="D616" s="21" t="s">
        <v>137</v>
      </c>
      <c r="E616" s="22" t="n">
        <v>19.31</v>
      </c>
      <c r="F616" s="22" t="n">
        <v>28.06</v>
      </c>
      <c r="G616" s="23" t="n">
        <v>22</v>
      </c>
      <c r="H616" s="23" t="n">
        <v>10</v>
      </c>
      <c r="I616" s="23" t="n">
        <f aca="false">G616-H616</f>
        <v>12</v>
      </c>
      <c r="J616" s="21" t="str">
        <f aca="false">IF(I616&lt;50,"LOW-IN-STOCK","IN-STOCK")</f>
        <v>LOW-IN-STOCK</v>
      </c>
      <c r="K616" s="22" t="n">
        <f aca="false">E616*G616</f>
        <v>424.82</v>
      </c>
      <c r="L616" s="22" t="n">
        <f aca="false">F616*H616</f>
        <v>280.6</v>
      </c>
      <c r="M616" s="22" t="n">
        <f aca="false">L616-K616</f>
        <v>-144.22</v>
      </c>
    </row>
    <row r="617" customFormat="false" ht="15" hidden="false" customHeight="false" outlineLevel="0" collapsed="false">
      <c r="A617" s="21" t="s">
        <v>786</v>
      </c>
      <c r="B617" s="21" t="s">
        <v>157</v>
      </c>
      <c r="C617" s="21" t="s">
        <v>113</v>
      </c>
      <c r="D617" s="21" t="s">
        <v>160</v>
      </c>
      <c r="E617" s="22" t="n">
        <v>25.79</v>
      </c>
      <c r="F617" s="22" t="n">
        <v>48.66</v>
      </c>
      <c r="G617" s="23" t="n">
        <v>222</v>
      </c>
      <c r="H617" s="23" t="n">
        <v>64</v>
      </c>
      <c r="I617" s="23" t="n">
        <f aca="false">G617-H617</f>
        <v>158</v>
      </c>
      <c r="J617" s="21" t="str">
        <f aca="false">IF(I617&lt;50,"LOW-IN-STOCK","IN-STOCK")</f>
        <v>IN-STOCK</v>
      </c>
      <c r="K617" s="22" t="n">
        <f aca="false">E617*G617</f>
        <v>5725.38</v>
      </c>
      <c r="L617" s="22" t="n">
        <f aca="false">F617*H617</f>
        <v>3114.24</v>
      </c>
      <c r="M617" s="22" t="n">
        <f aca="false">L617-K617</f>
        <v>-2611.14</v>
      </c>
    </row>
    <row r="618" customFormat="false" ht="15" hidden="false" customHeight="false" outlineLevel="0" collapsed="false">
      <c r="A618" s="21" t="s">
        <v>787</v>
      </c>
      <c r="B618" s="21" t="s">
        <v>229</v>
      </c>
      <c r="C618" s="21" t="s">
        <v>113</v>
      </c>
      <c r="D618" s="21" t="s">
        <v>102</v>
      </c>
      <c r="E618" s="22" t="n">
        <v>6.5</v>
      </c>
      <c r="F618" s="22" t="n">
        <v>13.84</v>
      </c>
      <c r="G618" s="23" t="n">
        <v>215</v>
      </c>
      <c r="H618" s="23" t="n">
        <v>45</v>
      </c>
      <c r="I618" s="23" t="n">
        <f aca="false">G618-H618</f>
        <v>170</v>
      </c>
      <c r="J618" s="21" t="str">
        <f aca="false">IF(I618&lt;50,"LOW-IN-STOCK","IN-STOCK")</f>
        <v>IN-STOCK</v>
      </c>
      <c r="K618" s="22" t="n">
        <f aca="false">E618*G618</f>
        <v>1397.5</v>
      </c>
      <c r="L618" s="22" t="n">
        <f aca="false">F618*H618</f>
        <v>622.8</v>
      </c>
      <c r="M618" s="22" t="n">
        <f aca="false">L618-K618</f>
        <v>-774.7</v>
      </c>
    </row>
    <row r="619" customFormat="false" ht="15" hidden="false" customHeight="false" outlineLevel="0" collapsed="false">
      <c r="A619" s="21" t="s">
        <v>788</v>
      </c>
      <c r="B619" s="21" t="s">
        <v>186</v>
      </c>
      <c r="C619" s="21" t="s">
        <v>83</v>
      </c>
      <c r="D619" s="21" t="s">
        <v>102</v>
      </c>
      <c r="E619" s="22" t="n">
        <v>24.83</v>
      </c>
      <c r="F619" s="22" t="n">
        <v>52.87</v>
      </c>
      <c r="G619" s="23" t="n">
        <v>386</v>
      </c>
      <c r="H619" s="23" t="n">
        <v>95</v>
      </c>
      <c r="I619" s="23" t="n">
        <f aca="false">G619-H619</f>
        <v>291</v>
      </c>
      <c r="J619" s="21" t="str">
        <f aca="false">IF(I619&lt;50,"LOW-IN-STOCK","IN-STOCK")</f>
        <v>IN-STOCK</v>
      </c>
      <c r="K619" s="22" t="n">
        <f aca="false">E619*G619</f>
        <v>9584.38</v>
      </c>
      <c r="L619" s="22" t="n">
        <f aca="false">F619*H619</f>
        <v>5022.65</v>
      </c>
      <c r="M619" s="22" t="n">
        <f aca="false">L619-K619</f>
        <v>-4561.73</v>
      </c>
    </row>
    <row r="620" customFormat="false" ht="15" hidden="false" customHeight="false" outlineLevel="0" collapsed="false">
      <c r="A620" s="21" t="s">
        <v>789</v>
      </c>
      <c r="B620" s="21" t="s">
        <v>166</v>
      </c>
      <c r="C620" s="21" t="s">
        <v>93</v>
      </c>
      <c r="D620" s="21" t="s">
        <v>99</v>
      </c>
      <c r="E620" s="22" t="n">
        <v>2.33</v>
      </c>
      <c r="F620" s="22" t="n">
        <v>3.84</v>
      </c>
      <c r="G620" s="23" t="n">
        <v>35</v>
      </c>
      <c r="H620" s="23" t="n">
        <v>6</v>
      </c>
      <c r="I620" s="23" t="n">
        <f aca="false">G620-H620</f>
        <v>29</v>
      </c>
      <c r="J620" s="21" t="str">
        <f aca="false">IF(I620&lt;50,"LOW-IN-STOCK","IN-STOCK")</f>
        <v>LOW-IN-STOCK</v>
      </c>
      <c r="K620" s="22" t="n">
        <f aca="false">E620*G620</f>
        <v>81.55</v>
      </c>
      <c r="L620" s="22" t="n">
        <f aca="false">F620*H620</f>
        <v>23.04</v>
      </c>
      <c r="M620" s="22" t="n">
        <f aca="false">L620-K620</f>
        <v>-58.51</v>
      </c>
    </row>
    <row r="621" customFormat="false" ht="15" hidden="false" customHeight="false" outlineLevel="0" collapsed="false">
      <c r="A621" s="21" t="s">
        <v>790</v>
      </c>
      <c r="B621" s="21" t="s">
        <v>164</v>
      </c>
      <c r="C621" s="21" t="s">
        <v>93</v>
      </c>
      <c r="D621" s="21" t="s">
        <v>160</v>
      </c>
      <c r="E621" s="22" t="n">
        <v>1.52</v>
      </c>
      <c r="F621" s="22" t="n">
        <v>2.15</v>
      </c>
      <c r="G621" s="23" t="n">
        <v>157</v>
      </c>
      <c r="H621" s="23" t="n">
        <v>101</v>
      </c>
      <c r="I621" s="23" t="n">
        <f aca="false">G621-H621</f>
        <v>56</v>
      </c>
      <c r="J621" s="21" t="str">
        <f aca="false">IF(I621&lt;50,"LOW-IN-STOCK","IN-STOCK")</f>
        <v>IN-STOCK</v>
      </c>
      <c r="K621" s="22" t="n">
        <f aca="false">E621*G621</f>
        <v>238.64</v>
      </c>
      <c r="L621" s="22" t="n">
        <f aca="false">F621*H621</f>
        <v>217.15</v>
      </c>
      <c r="M621" s="22" t="n">
        <f aca="false">L621-K621</f>
        <v>-21.49</v>
      </c>
    </row>
    <row r="622" customFormat="false" ht="15" hidden="false" customHeight="false" outlineLevel="0" collapsed="false">
      <c r="A622" s="21" t="s">
        <v>791</v>
      </c>
      <c r="B622" s="21" t="s">
        <v>411</v>
      </c>
      <c r="C622" s="21" t="s">
        <v>107</v>
      </c>
      <c r="D622" s="21" t="s">
        <v>108</v>
      </c>
      <c r="E622" s="22" t="n">
        <v>2.69</v>
      </c>
      <c r="F622" s="22" t="n">
        <v>5.05</v>
      </c>
      <c r="G622" s="23" t="n">
        <v>482</v>
      </c>
      <c r="H622" s="23" t="n">
        <v>210</v>
      </c>
      <c r="I622" s="23" t="n">
        <f aca="false">G622-H622</f>
        <v>272</v>
      </c>
      <c r="J622" s="21" t="str">
        <f aca="false">IF(I622&lt;50,"LOW-IN-STOCK","IN-STOCK")</f>
        <v>IN-STOCK</v>
      </c>
      <c r="K622" s="22" t="n">
        <f aca="false">E622*G622</f>
        <v>1296.58</v>
      </c>
      <c r="L622" s="22" t="n">
        <f aca="false">F622*H622</f>
        <v>1060.5</v>
      </c>
      <c r="M622" s="22" t="n">
        <f aca="false">L622-K622</f>
        <v>-236.08</v>
      </c>
    </row>
    <row r="623" customFormat="false" ht="15" hidden="false" customHeight="false" outlineLevel="0" collapsed="false">
      <c r="A623" s="21" t="s">
        <v>792</v>
      </c>
      <c r="B623" s="21" t="s">
        <v>201</v>
      </c>
      <c r="C623" s="21" t="s">
        <v>107</v>
      </c>
      <c r="D623" s="21" t="s">
        <v>137</v>
      </c>
      <c r="E623" s="22" t="n">
        <v>1.41</v>
      </c>
      <c r="F623" s="22" t="n">
        <v>1.88</v>
      </c>
      <c r="G623" s="23" t="n">
        <v>399</v>
      </c>
      <c r="H623" s="23" t="n">
        <v>290</v>
      </c>
      <c r="I623" s="23" t="n">
        <f aca="false">G623-H623</f>
        <v>109</v>
      </c>
      <c r="J623" s="21" t="str">
        <f aca="false">IF(I623&lt;50,"LOW-IN-STOCK","IN-STOCK")</f>
        <v>IN-STOCK</v>
      </c>
      <c r="K623" s="22" t="n">
        <f aca="false">E623*G623</f>
        <v>562.59</v>
      </c>
      <c r="L623" s="22" t="n">
        <f aca="false">F623*H623</f>
        <v>545.2</v>
      </c>
      <c r="M623" s="22" t="n">
        <f aca="false">L623-K623</f>
        <v>-17.39</v>
      </c>
    </row>
    <row r="624" customFormat="false" ht="15" hidden="false" customHeight="false" outlineLevel="0" collapsed="false">
      <c r="A624" s="21" t="s">
        <v>793</v>
      </c>
      <c r="B624" s="21" t="s">
        <v>239</v>
      </c>
      <c r="C624" s="21" t="s">
        <v>113</v>
      </c>
      <c r="D624" s="21" t="s">
        <v>76</v>
      </c>
      <c r="E624" s="22" t="n">
        <v>25.05</v>
      </c>
      <c r="F624" s="22" t="n">
        <v>37.97</v>
      </c>
      <c r="G624" s="23" t="n">
        <v>374</v>
      </c>
      <c r="H624" s="23" t="n">
        <v>162</v>
      </c>
      <c r="I624" s="23" t="n">
        <f aca="false">G624-H624</f>
        <v>212</v>
      </c>
      <c r="J624" s="21" t="str">
        <f aca="false">IF(I624&lt;50,"LOW-IN-STOCK","IN-STOCK")</f>
        <v>IN-STOCK</v>
      </c>
      <c r="K624" s="22" t="n">
        <f aca="false">E624*G624</f>
        <v>9368.7</v>
      </c>
      <c r="L624" s="22" t="n">
        <f aca="false">F624*H624</f>
        <v>6151.14</v>
      </c>
      <c r="M624" s="22" t="n">
        <f aca="false">L624-K624</f>
        <v>-3217.56</v>
      </c>
    </row>
    <row r="625" customFormat="false" ht="15" hidden="false" customHeight="false" outlineLevel="0" collapsed="false">
      <c r="A625" s="21" t="s">
        <v>794</v>
      </c>
      <c r="B625" s="21" t="s">
        <v>282</v>
      </c>
      <c r="C625" s="21" t="s">
        <v>79</v>
      </c>
      <c r="D625" s="21" t="s">
        <v>88</v>
      </c>
      <c r="E625" s="22" t="n">
        <v>15.17</v>
      </c>
      <c r="F625" s="22" t="n">
        <v>27.2</v>
      </c>
      <c r="G625" s="23" t="n">
        <v>52</v>
      </c>
      <c r="H625" s="23" t="n">
        <v>43</v>
      </c>
      <c r="I625" s="23" t="n">
        <f aca="false">G625-H625</f>
        <v>9</v>
      </c>
      <c r="J625" s="21" t="str">
        <f aca="false">IF(I625&lt;50,"LOW-IN-STOCK","IN-STOCK")</f>
        <v>LOW-IN-STOCK</v>
      </c>
      <c r="K625" s="22" t="n">
        <f aca="false">E625*G625</f>
        <v>788.84</v>
      </c>
      <c r="L625" s="22" t="n">
        <f aca="false">F625*H625</f>
        <v>1169.6</v>
      </c>
      <c r="M625" s="22" t="n">
        <f aca="false">L625-K625</f>
        <v>380.76</v>
      </c>
    </row>
    <row r="626" customFormat="false" ht="15" hidden="false" customHeight="false" outlineLevel="0" collapsed="false">
      <c r="A626" s="21" t="s">
        <v>795</v>
      </c>
      <c r="B626" s="21" t="s">
        <v>227</v>
      </c>
      <c r="C626" s="21" t="s">
        <v>148</v>
      </c>
      <c r="D626" s="21" t="s">
        <v>137</v>
      </c>
      <c r="E626" s="22" t="n">
        <v>3.01</v>
      </c>
      <c r="F626" s="22" t="n">
        <v>5.23</v>
      </c>
      <c r="G626" s="23" t="n">
        <v>219</v>
      </c>
      <c r="H626" s="23" t="n">
        <v>156</v>
      </c>
      <c r="I626" s="23" t="n">
        <f aca="false">G626-H626</f>
        <v>63</v>
      </c>
      <c r="J626" s="21" t="str">
        <f aca="false">IF(I626&lt;50,"LOW-IN-STOCK","IN-STOCK")</f>
        <v>IN-STOCK</v>
      </c>
      <c r="K626" s="22" t="n">
        <f aca="false">E626*G626</f>
        <v>659.19</v>
      </c>
      <c r="L626" s="22" t="n">
        <f aca="false">F626*H626</f>
        <v>815.88</v>
      </c>
      <c r="M626" s="22" t="n">
        <f aca="false">L626-K626</f>
        <v>156.69</v>
      </c>
    </row>
    <row r="627" customFormat="false" ht="15" hidden="false" customHeight="false" outlineLevel="0" collapsed="false">
      <c r="A627" s="21" t="s">
        <v>796</v>
      </c>
      <c r="B627" s="21" t="s">
        <v>141</v>
      </c>
      <c r="C627" s="21" t="s">
        <v>107</v>
      </c>
      <c r="D627" s="21" t="s">
        <v>80</v>
      </c>
      <c r="E627" s="22" t="n">
        <v>13.17</v>
      </c>
      <c r="F627" s="22" t="n">
        <v>28.61</v>
      </c>
      <c r="G627" s="23" t="n">
        <v>479</v>
      </c>
      <c r="H627" s="23" t="n">
        <v>284</v>
      </c>
      <c r="I627" s="23" t="n">
        <f aca="false">G627-H627</f>
        <v>195</v>
      </c>
      <c r="J627" s="21" t="str">
        <f aca="false">IF(I627&lt;50,"LOW-IN-STOCK","IN-STOCK")</f>
        <v>IN-STOCK</v>
      </c>
      <c r="K627" s="22" t="n">
        <f aca="false">E627*G627</f>
        <v>6308.43</v>
      </c>
      <c r="L627" s="22" t="n">
        <f aca="false">F627*H627</f>
        <v>8125.24</v>
      </c>
      <c r="M627" s="22" t="n">
        <f aca="false">L627-K627</f>
        <v>1816.81</v>
      </c>
    </row>
    <row r="628" customFormat="false" ht="15" hidden="false" customHeight="false" outlineLevel="0" collapsed="false">
      <c r="A628" s="21" t="s">
        <v>797</v>
      </c>
      <c r="B628" s="21" t="s">
        <v>447</v>
      </c>
      <c r="C628" s="21" t="s">
        <v>148</v>
      </c>
      <c r="D628" s="21" t="s">
        <v>76</v>
      </c>
      <c r="E628" s="22" t="n">
        <v>61.78</v>
      </c>
      <c r="F628" s="22" t="n">
        <v>123.61</v>
      </c>
      <c r="G628" s="23" t="n">
        <v>321</v>
      </c>
      <c r="H628" s="23" t="n">
        <v>42</v>
      </c>
      <c r="I628" s="23" t="n">
        <f aca="false">G628-H628</f>
        <v>279</v>
      </c>
      <c r="J628" s="21" t="str">
        <f aca="false">IF(I628&lt;50,"LOW-IN-STOCK","IN-STOCK")</f>
        <v>IN-STOCK</v>
      </c>
      <c r="K628" s="22" t="n">
        <f aca="false">E628*G628</f>
        <v>19831.38</v>
      </c>
      <c r="L628" s="22" t="n">
        <f aca="false">F628*H628</f>
        <v>5191.62</v>
      </c>
      <c r="M628" s="22" t="n">
        <f aca="false">L628-K628</f>
        <v>-14639.76</v>
      </c>
    </row>
    <row r="629" customFormat="false" ht="15" hidden="false" customHeight="false" outlineLevel="0" collapsed="false">
      <c r="A629" s="21" t="s">
        <v>798</v>
      </c>
      <c r="B629" s="21" t="s">
        <v>101</v>
      </c>
      <c r="C629" s="21" t="s">
        <v>83</v>
      </c>
      <c r="D629" s="21" t="s">
        <v>137</v>
      </c>
      <c r="E629" s="22" t="n">
        <v>21.59</v>
      </c>
      <c r="F629" s="22" t="n">
        <v>35</v>
      </c>
      <c r="G629" s="23" t="n">
        <v>213</v>
      </c>
      <c r="H629" s="23" t="n">
        <v>81</v>
      </c>
      <c r="I629" s="23" t="n">
        <f aca="false">G629-H629</f>
        <v>132</v>
      </c>
      <c r="J629" s="21" t="str">
        <f aca="false">IF(I629&lt;50,"LOW-IN-STOCK","IN-STOCK")</f>
        <v>IN-STOCK</v>
      </c>
      <c r="K629" s="22" t="n">
        <f aca="false">E629*G629</f>
        <v>4598.67</v>
      </c>
      <c r="L629" s="22" t="n">
        <f aca="false">F629*H629</f>
        <v>2835</v>
      </c>
      <c r="M629" s="22" t="n">
        <f aca="false">L629-K629</f>
        <v>-1763.67</v>
      </c>
    </row>
    <row r="630" customFormat="false" ht="15" hidden="false" customHeight="false" outlineLevel="0" collapsed="false">
      <c r="A630" s="21" t="s">
        <v>799</v>
      </c>
      <c r="B630" s="21" t="s">
        <v>136</v>
      </c>
      <c r="C630" s="21" t="s">
        <v>87</v>
      </c>
      <c r="D630" s="21" t="s">
        <v>160</v>
      </c>
      <c r="E630" s="22" t="n">
        <v>14.25</v>
      </c>
      <c r="F630" s="22" t="n">
        <v>30.17</v>
      </c>
      <c r="G630" s="23" t="n">
        <v>332</v>
      </c>
      <c r="H630" s="23" t="n">
        <v>266</v>
      </c>
      <c r="I630" s="23" t="n">
        <f aca="false">G630-H630</f>
        <v>66</v>
      </c>
      <c r="J630" s="21" t="str">
        <f aca="false">IF(I630&lt;50,"LOW-IN-STOCK","IN-STOCK")</f>
        <v>IN-STOCK</v>
      </c>
      <c r="K630" s="22" t="n">
        <f aca="false">E630*G630</f>
        <v>4731</v>
      </c>
      <c r="L630" s="22" t="n">
        <f aca="false">F630*H630</f>
        <v>8025.22</v>
      </c>
      <c r="M630" s="22" t="n">
        <f aca="false">L630-K630</f>
        <v>3294.22</v>
      </c>
    </row>
    <row r="631" customFormat="false" ht="15" hidden="false" customHeight="false" outlineLevel="0" collapsed="false">
      <c r="A631" s="21" t="s">
        <v>800</v>
      </c>
      <c r="B631" s="21" t="s">
        <v>92</v>
      </c>
      <c r="C631" s="21" t="s">
        <v>93</v>
      </c>
      <c r="D631" s="21" t="s">
        <v>114</v>
      </c>
      <c r="E631" s="22" t="n">
        <v>4.35</v>
      </c>
      <c r="F631" s="22" t="n">
        <v>8.85</v>
      </c>
      <c r="G631" s="23" t="n">
        <v>274</v>
      </c>
      <c r="H631" s="23" t="n">
        <v>106</v>
      </c>
      <c r="I631" s="23" t="n">
        <f aca="false">G631-H631</f>
        <v>168</v>
      </c>
      <c r="J631" s="21" t="str">
        <f aca="false">IF(I631&lt;50,"LOW-IN-STOCK","IN-STOCK")</f>
        <v>IN-STOCK</v>
      </c>
      <c r="K631" s="22" t="n">
        <f aca="false">E631*G631</f>
        <v>1191.9</v>
      </c>
      <c r="L631" s="22" t="n">
        <f aca="false">F631*H631</f>
        <v>938.1</v>
      </c>
      <c r="M631" s="22" t="n">
        <f aca="false">L631-K631</f>
        <v>-253.8</v>
      </c>
    </row>
    <row r="632" customFormat="false" ht="15" hidden="false" customHeight="false" outlineLevel="0" collapsed="false">
      <c r="A632" s="21" t="s">
        <v>801</v>
      </c>
      <c r="B632" s="21" t="s">
        <v>78</v>
      </c>
      <c r="C632" s="21" t="s">
        <v>79</v>
      </c>
      <c r="D632" s="21" t="s">
        <v>137</v>
      </c>
      <c r="E632" s="22" t="n">
        <v>7.64</v>
      </c>
      <c r="F632" s="22" t="n">
        <v>12.5</v>
      </c>
      <c r="G632" s="23" t="n">
        <v>243</v>
      </c>
      <c r="H632" s="23" t="n">
        <v>72</v>
      </c>
      <c r="I632" s="23" t="n">
        <f aca="false">G632-H632</f>
        <v>171</v>
      </c>
      <c r="J632" s="21" t="str">
        <f aca="false">IF(I632&lt;50,"LOW-IN-STOCK","IN-STOCK")</f>
        <v>IN-STOCK</v>
      </c>
      <c r="K632" s="22" t="n">
        <f aca="false">E632*G632</f>
        <v>1856.52</v>
      </c>
      <c r="L632" s="22" t="n">
        <f aca="false">F632*H632</f>
        <v>900</v>
      </c>
      <c r="M632" s="22" t="n">
        <f aca="false">L632-K632</f>
        <v>-956.52</v>
      </c>
    </row>
    <row r="633" customFormat="false" ht="15" hidden="false" customHeight="false" outlineLevel="0" collapsed="false">
      <c r="A633" s="21" t="s">
        <v>802</v>
      </c>
      <c r="B633" s="21" t="s">
        <v>82</v>
      </c>
      <c r="C633" s="21" t="s">
        <v>83</v>
      </c>
      <c r="D633" s="21" t="s">
        <v>102</v>
      </c>
      <c r="E633" s="22" t="n">
        <v>14.94</v>
      </c>
      <c r="F633" s="22" t="n">
        <v>30.43</v>
      </c>
      <c r="G633" s="23" t="n">
        <v>350</v>
      </c>
      <c r="H633" s="23" t="n">
        <v>148</v>
      </c>
      <c r="I633" s="23" t="n">
        <f aca="false">G633-H633</f>
        <v>202</v>
      </c>
      <c r="J633" s="21" t="str">
        <f aca="false">IF(I633&lt;50,"LOW-IN-STOCK","IN-STOCK")</f>
        <v>IN-STOCK</v>
      </c>
      <c r="K633" s="22" t="n">
        <f aca="false">E633*G633</f>
        <v>5229</v>
      </c>
      <c r="L633" s="22" t="n">
        <f aca="false">F633*H633</f>
        <v>4503.64</v>
      </c>
      <c r="M633" s="22" t="n">
        <f aca="false">L633-K633</f>
        <v>-725.36</v>
      </c>
    </row>
    <row r="634" customFormat="false" ht="15" hidden="false" customHeight="false" outlineLevel="0" collapsed="false">
      <c r="A634" s="21" t="s">
        <v>803</v>
      </c>
      <c r="B634" s="21" t="s">
        <v>188</v>
      </c>
      <c r="C634" s="21" t="s">
        <v>113</v>
      </c>
      <c r="D634" s="21" t="s">
        <v>84</v>
      </c>
      <c r="E634" s="22" t="n">
        <v>13.13</v>
      </c>
      <c r="F634" s="22" t="n">
        <v>25.28</v>
      </c>
      <c r="G634" s="23" t="n">
        <v>414</v>
      </c>
      <c r="H634" s="23" t="n">
        <v>349</v>
      </c>
      <c r="I634" s="23" t="n">
        <f aca="false">G634-H634</f>
        <v>65</v>
      </c>
      <c r="J634" s="21" t="str">
        <f aca="false">IF(I634&lt;50,"LOW-IN-STOCK","IN-STOCK")</f>
        <v>IN-STOCK</v>
      </c>
      <c r="K634" s="22" t="n">
        <f aca="false">E634*G634</f>
        <v>5435.82</v>
      </c>
      <c r="L634" s="22" t="n">
        <f aca="false">F634*H634</f>
        <v>8822.72</v>
      </c>
      <c r="M634" s="22" t="n">
        <f aca="false">L634-K634</f>
        <v>3386.9</v>
      </c>
    </row>
    <row r="635" customFormat="false" ht="15" hidden="false" customHeight="false" outlineLevel="0" collapsed="false">
      <c r="A635" s="21" t="s">
        <v>804</v>
      </c>
      <c r="B635" s="21" t="s">
        <v>227</v>
      </c>
      <c r="C635" s="21" t="s">
        <v>148</v>
      </c>
      <c r="D635" s="21" t="s">
        <v>102</v>
      </c>
      <c r="E635" s="22" t="n">
        <v>31.74</v>
      </c>
      <c r="F635" s="22" t="n">
        <v>55.85</v>
      </c>
      <c r="G635" s="23" t="n">
        <v>278</v>
      </c>
      <c r="H635" s="23" t="n">
        <v>171</v>
      </c>
      <c r="I635" s="23" t="n">
        <f aca="false">G635-H635</f>
        <v>107</v>
      </c>
      <c r="J635" s="21" t="str">
        <f aca="false">IF(I635&lt;50,"LOW-IN-STOCK","IN-STOCK")</f>
        <v>IN-STOCK</v>
      </c>
      <c r="K635" s="22" t="n">
        <f aca="false">E635*G635</f>
        <v>8823.72</v>
      </c>
      <c r="L635" s="22" t="n">
        <f aca="false">F635*H635</f>
        <v>9550.35</v>
      </c>
      <c r="M635" s="22" t="n">
        <f aca="false">L635-K635</f>
        <v>726.630000000001</v>
      </c>
    </row>
    <row r="636" customFormat="false" ht="15" hidden="false" customHeight="false" outlineLevel="0" collapsed="false">
      <c r="A636" s="21" t="s">
        <v>805</v>
      </c>
      <c r="B636" s="21" t="s">
        <v>143</v>
      </c>
      <c r="C636" s="21" t="s">
        <v>107</v>
      </c>
      <c r="D636" s="21" t="s">
        <v>88</v>
      </c>
      <c r="E636" s="22" t="n">
        <v>1.27</v>
      </c>
      <c r="F636" s="22" t="n">
        <v>2.48</v>
      </c>
      <c r="G636" s="23" t="n">
        <v>160</v>
      </c>
      <c r="H636" s="23" t="n">
        <v>102</v>
      </c>
      <c r="I636" s="23" t="n">
        <f aca="false">G636-H636</f>
        <v>58</v>
      </c>
      <c r="J636" s="21" t="str">
        <f aca="false">IF(I636&lt;50,"LOW-IN-STOCK","IN-STOCK")</f>
        <v>IN-STOCK</v>
      </c>
      <c r="K636" s="22" t="n">
        <f aca="false">E636*G636</f>
        <v>203.2</v>
      </c>
      <c r="L636" s="22" t="n">
        <f aca="false">F636*H636</f>
        <v>252.96</v>
      </c>
      <c r="M636" s="22" t="n">
        <f aca="false">L636-K636</f>
        <v>49.76</v>
      </c>
    </row>
    <row r="637" customFormat="false" ht="15" hidden="false" customHeight="false" outlineLevel="0" collapsed="false">
      <c r="A637" s="21" t="s">
        <v>806</v>
      </c>
      <c r="B637" s="21" t="s">
        <v>280</v>
      </c>
      <c r="C637" s="21" t="s">
        <v>83</v>
      </c>
      <c r="D637" s="21" t="s">
        <v>84</v>
      </c>
      <c r="E637" s="22" t="n">
        <v>7.09</v>
      </c>
      <c r="F637" s="22" t="n">
        <v>9.4</v>
      </c>
      <c r="G637" s="23" t="n">
        <v>63</v>
      </c>
      <c r="H637" s="23" t="n">
        <v>25</v>
      </c>
      <c r="I637" s="23" t="n">
        <f aca="false">G637-H637</f>
        <v>38</v>
      </c>
      <c r="J637" s="21" t="str">
        <f aca="false">IF(I637&lt;50,"LOW-IN-STOCK","IN-STOCK")</f>
        <v>LOW-IN-STOCK</v>
      </c>
      <c r="K637" s="22" t="n">
        <f aca="false">E637*G637</f>
        <v>446.67</v>
      </c>
      <c r="L637" s="22" t="n">
        <f aca="false">F637*H637</f>
        <v>235</v>
      </c>
      <c r="M637" s="22" t="n">
        <f aca="false">L637-K637</f>
        <v>-211.67</v>
      </c>
    </row>
    <row r="638" customFormat="false" ht="15" hidden="false" customHeight="false" outlineLevel="0" collapsed="false">
      <c r="A638" s="21" t="s">
        <v>807</v>
      </c>
      <c r="B638" s="21" t="s">
        <v>126</v>
      </c>
      <c r="C638" s="21" t="s">
        <v>79</v>
      </c>
      <c r="D638" s="21" t="s">
        <v>76</v>
      </c>
      <c r="E638" s="22" t="n">
        <v>9.98</v>
      </c>
      <c r="F638" s="22" t="n">
        <v>21.59</v>
      </c>
      <c r="G638" s="23" t="n">
        <v>185</v>
      </c>
      <c r="H638" s="23" t="n">
        <v>95</v>
      </c>
      <c r="I638" s="23" t="n">
        <f aca="false">G638-H638</f>
        <v>90</v>
      </c>
      <c r="J638" s="21" t="str">
        <f aca="false">IF(I638&lt;50,"LOW-IN-STOCK","IN-STOCK")</f>
        <v>IN-STOCK</v>
      </c>
      <c r="K638" s="22" t="n">
        <f aca="false">E638*G638</f>
        <v>1846.3</v>
      </c>
      <c r="L638" s="22" t="n">
        <f aca="false">F638*H638</f>
        <v>2051.05</v>
      </c>
      <c r="M638" s="22" t="n">
        <f aca="false">L638-K638</f>
        <v>204.75</v>
      </c>
    </row>
    <row r="639" customFormat="false" ht="15" hidden="false" customHeight="false" outlineLevel="0" collapsed="false">
      <c r="A639" s="21" t="s">
        <v>808</v>
      </c>
      <c r="B639" s="21" t="s">
        <v>201</v>
      </c>
      <c r="C639" s="21" t="s">
        <v>107</v>
      </c>
      <c r="D639" s="21" t="s">
        <v>114</v>
      </c>
      <c r="E639" s="22" t="n">
        <v>3.97</v>
      </c>
      <c r="F639" s="22" t="n">
        <v>8.05</v>
      </c>
      <c r="G639" s="23" t="n">
        <v>395</v>
      </c>
      <c r="H639" s="23" t="n">
        <v>354</v>
      </c>
      <c r="I639" s="23" t="n">
        <f aca="false">G639-H639</f>
        <v>41</v>
      </c>
      <c r="J639" s="21" t="str">
        <f aca="false">IF(I639&lt;50,"LOW-IN-STOCK","IN-STOCK")</f>
        <v>LOW-IN-STOCK</v>
      </c>
      <c r="K639" s="22" t="n">
        <f aca="false">E639*G639</f>
        <v>1568.15</v>
      </c>
      <c r="L639" s="22" t="n">
        <f aca="false">F639*H639</f>
        <v>2849.7</v>
      </c>
      <c r="M639" s="22" t="n">
        <f aca="false">L639-K639</f>
        <v>1281.55</v>
      </c>
    </row>
    <row r="640" customFormat="false" ht="15" hidden="false" customHeight="false" outlineLevel="0" collapsed="false">
      <c r="A640" s="21" t="s">
        <v>809</v>
      </c>
      <c r="B640" s="21" t="s">
        <v>383</v>
      </c>
      <c r="C640" s="21" t="s">
        <v>87</v>
      </c>
      <c r="D640" s="21" t="s">
        <v>76</v>
      </c>
      <c r="E640" s="22" t="n">
        <v>5.02</v>
      </c>
      <c r="F640" s="22" t="n">
        <v>10.4</v>
      </c>
      <c r="G640" s="23" t="n">
        <v>214</v>
      </c>
      <c r="H640" s="23" t="n">
        <v>81</v>
      </c>
      <c r="I640" s="23" t="n">
        <f aca="false">G640-H640</f>
        <v>133</v>
      </c>
      <c r="J640" s="21" t="str">
        <f aca="false">IF(I640&lt;50,"LOW-IN-STOCK","IN-STOCK")</f>
        <v>IN-STOCK</v>
      </c>
      <c r="K640" s="22" t="n">
        <f aca="false">E640*G640</f>
        <v>1074.28</v>
      </c>
      <c r="L640" s="22" t="n">
        <f aca="false">F640*H640</f>
        <v>842.4</v>
      </c>
      <c r="M640" s="22" t="n">
        <f aca="false">L640-K640</f>
        <v>-231.88</v>
      </c>
    </row>
    <row r="641" customFormat="false" ht="15" hidden="false" customHeight="false" outlineLevel="0" collapsed="false">
      <c r="A641" s="21" t="s">
        <v>810</v>
      </c>
      <c r="B641" s="21" t="s">
        <v>311</v>
      </c>
      <c r="C641" s="21" t="s">
        <v>75</v>
      </c>
      <c r="D641" s="21" t="s">
        <v>76</v>
      </c>
      <c r="E641" s="22" t="n">
        <v>11.98</v>
      </c>
      <c r="F641" s="22" t="n">
        <v>25.36</v>
      </c>
      <c r="G641" s="23" t="n">
        <v>277</v>
      </c>
      <c r="H641" s="23" t="n">
        <v>147</v>
      </c>
      <c r="I641" s="23" t="n">
        <f aca="false">G641-H641</f>
        <v>130</v>
      </c>
      <c r="J641" s="21" t="str">
        <f aca="false">IF(I641&lt;50,"LOW-IN-STOCK","IN-STOCK")</f>
        <v>IN-STOCK</v>
      </c>
      <c r="K641" s="22" t="n">
        <f aca="false">E641*G641</f>
        <v>3318.46</v>
      </c>
      <c r="L641" s="22" t="n">
        <f aca="false">F641*H641</f>
        <v>3727.92</v>
      </c>
      <c r="M641" s="22" t="n">
        <f aca="false">L641-K641</f>
        <v>409.46</v>
      </c>
    </row>
    <row r="642" customFormat="false" ht="15" hidden="false" customHeight="false" outlineLevel="0" collapsed="false">
      <c r="A642" s="21" t="s">
        <v>811</v>
      </c>
      <c r="B642" s="21" t="s">
        <v>213</v>
      </c>
      <c r="C642" s="21" t="s">
        <v>87</v>
      </c>
      <c r="D642" s="21" t="s">
        <v>114</v>
      </c>
      <c r="E642" s="22" t="n">
        <v>22.57</v>
      </c>
      <c r="F642" s="22" t="n">
        <v>32.29</v>
      </c>
      <c r="G642" s="23" t="n">
        <v>455</v>
      </c>
      <c r="H642" s="23" t="n">
        <v>336</v>
      </c>
      <c r="I642" s="23" t="n">
        <f aca="false">G642-H642</f>
        <v>119</v>
      </c>
      <c r="J642" s="21" t="str">
        <f aca="false">IF(I642&lt;50,"LOW-IN-STOCK","IN-STOCK")</f>
        <v>IN-STOCK</v>
      </c>
      <c r="K642" s="22" t="n">
        <f aca="false">E642*G642</f>
        <v>10269.35</v>
      </c>
      <c r="L642" s="22" t="n">
        <f aca="false">F642*H642</f>
        <v>10849.44</v>
      </c>
      <c r="M642" s="22" t="n">
        <f aca="false">L642-K642</f>
        <v>580.09</v>
      </c>
    </row>
    <row r="643" customFormat="false" ht="15" hidden="false" customHeight="false" outlineLevel="0" collapsed="false">
      <c r="A643" s="21" t="s">
        <v>812</v>
      </c>
      <c r="B643" s="21" t="s">
        <v>466</v>
      </c>
      <c r="C643" s="21" t="s">
        <v>79</v>
      </c>
      <c r="D643" s="21" t="s">
        <v>102</v>
      </c>
      <c r="E643" s="22" t="n">
        <v>4.85</v>
      </c>
      <c r="F643" s="22" t="n">
        <v>7.62</v>
      </c>
      <c r="G643" s="23" t="n">
        <v>414</v>
      </c>
      <c r="H643" s="23" t="n">
        <v>332</v>
      </c>
      <c r="I643" s="23" t="n">
        <f aca="false">G643-H643</f>
        <v>82</v>
      </c>
      <c r="J643" s="21" t="str">
        <f aca="false">IF(I643&lt;50,"LOW-IN-STOCK","IN-STOCK")</f>
        <v>IN-STOCK</v>
      </c>
      <c r="K643" s="22" t="n">
        <f aca="false">E643*G643</f>
        <v>2007.9</v>
      </c>
      <c r="L643" s="22" t="n">
        <f aca="false">F643*H643</f>
        <v>2529.84</v>
      </c>
      <c r="M643" s="22" t="n">
        <f aca="false">L643-K643</f>
        <v>521.94</v>
      </c>
    </row>
    <row r="644" customFormat="false" ht="15" hidden="false" customHeight="false" outlineLevel="0" collapsed="false">
      <c r="A644" s="21" t="s">
        <v>813</v>
      </c>
      <c r="B644" s="21" t="s">
        <v>276</v>
      </c>
      <c r="C644" s="21" t="s">
        <v>83</v>
      </c>
      <c r="D644" s="21" t="s">
        <v>80</v>
      </c>
      <c r="E644" s="22" t="n">
        <v>12.57</v>
      </c>
      <c r="F644" s="22" t="n">
        <v>17.83</v>
      </c>
      <c r="G644" s="23" t="n">
        <v>198</v>
      </c>
      <c r="H644" s="23" t="n">
        <v>167</v>
      </c>
      <c r="I644" s="23" t="n">
        <f aca="false">G644-H644</f>
        <v>31</v>
      </c>
      <c r="J644" s="21" t="str">
        <f aca="false">IF(I644&lt;50,"LOW-IN-STOCK","IN-STOCK")</f>
        <v>LOW-IN-STOCK</v>
      </c>
      <c r="K644" s="22" t="n">
        <f aca="false">E644*G644</f>
        <v>2488.86</v>
      </c>
      <c r="L644" s="22" t="n">
        <f aca="false">F644*H644</f>
        <v>2977.61</v>
      </c>
      <c r="M644" s="22" t="n">
        <f aca="false">L644-K644</f>
        <v>488.75</v>
      </c>
    </row>
    <row r="645" customFormat="false" ht="15" hidden="false" customHeight="false" outlineLevel="0" collapsed="false">
      <c r="A645" s="21" t="s">
        <v>814</v>
      </c>
      <c r="B645" s="21" t="s">
        <v>143</v>
      </c>
      <c r="C645" s="21" t="s">
        <v>107</v>
      </c>
      <c r="D645" s="21" t="s">
        <v>76</v>
      </c>
      <c r="E645" s="22" t="n">
        <v>7.88</v>
      </c>
      <c r="F645" s="22" t="n">
        <v>11.72</v>
      </c>
      <c r="G645" s="23" t="n">
        <v>366</v>
      </c>
      <c r="H645" s="23" t="n">
        <v>64</v>
      </c>
      <c r="I645" s="23" t="n">
        <f aca="false">G645-H645</f>
        <v>302</v>
      </c>
      <c r="J645" s="21" t="str">
        <f aca="false">IF(I645&lt;50,"LOW-IN-STOCK","IN-STOCK")</f>
        <v>IN-STOCK</v>
      </c>
      <c r="K645" s="22" t="n">
        <f aca="false">E645*G645</f>
        <v>2884.08</v>
      </c>
      <c r="L645" s="22" t="n">
        <f aca="false">F645*H645</f>
        <v>750.08</v>
      </c>
      <c r="M645" s="22" t="n">
        <f aca="false">L645-K645</f>
        <v>-2134</v>
      </c>
    </row>
    <row r="646" customFormat="false" ht="15" hidden="false" customHeight="false" outlineLevel="0" collapsed="false">
      <c r="A646" s="21" t="s">
        <v>815</v>
      </c>
      <c r="B646" s="21" t="s">
        <v>157</v>
      </c>
      <c r="C646" s="21" t="s">
        <v>113</v>
      </c>
      <c r="D646" s="21" t="s">
        <v>76</v>
      </c>
      <c r="E646" s="22" t="n">
        <v>4.86</v>
      </c>
      <c r="F646" s="22" t="n">
        <v>6.41</v>
      </c>
      <c r="G646" s="23" t="n">
        <v>238</v>
      </c>
      <c r="H646" s="23" t="n">
        <v>61</v>
      </c>
      <c r="I646" s="23" t="n">
        <f aca="false">G646-H646</f>
        <v>177</v>
      </c>
      <c r="J646" s="21" t="str">
        <f aca="false">IF(I646&lt;50,"LOW-IN-STOCK","IN-STOCK")</f>
        <v>IN-STOCK</v>
      </c>
      <c r="K646" s="22" t="n">
        <f aca="false">E646*G646</f>
        <v>1156.68</v>
      </c>
      <c r="L646" s="22" t="n">
        <f aca="false">F646*H646</f>
        <v>391.01</v>
      </c>
      <c r="M646" s="22" t="n">
        <f aca="false">L646-K646</f>
        <v>-765.67</v>
      </c>
    </row>
    <row r="647" customFormat="false" ht="15" hidden="false" customHeight="false" outlineLevel="0" collapsed="false">
      <c r="A647" s="21" t="s">
        <v>816</v>
      </c>
      <c r="B647" s="21" t="s">
        <v>481</v>
      </c>
      <c r="C647" s="21" t="s">
        <v>93</v>
      </c>
      <c r="D647" s="21" t="s">
        <v>80</v>
      </c>
      <c r="E647" s="22" t="n">
        <v>8.74</v>
      </c>
      <c r="F647" s="22" t="n">
        <v>14.5</v>
      </c>
      <c r="G647" s="23" t="n">
        <v>493</v>
      </c>
      <c r="H647" s="23" t="n">
        <v>357</v>
      </c>
      <c r="I647" s="23" t="n">
        <f aca="false">G647-H647</f>
        <v>136</v>
      </c>
      <c r="J647" s="21" t="str">
        <f aca="false">IF(I647&lt;50,"LOW-IN-STOCK","IN-STOCK")</f>
        <v>IN-STOCK</v>
      </c>
      <c r="K647" s="22" t="n">
        <f aca="false">E647*G647</f>
        <v>4308.82</v>
      </c>
      <c r="L647" s="22" t="n">
        <f aca="false">F647*H647</f>
        <v>5176.5</v>
      </c>
      <c r="M647" s="22" t="n">
        <f aca="false">L647-K647</f>
        <v>867.68</v>
      </c>
    </row>
    <row r="648" customFormat="false" ht="15" hidden="false" customHeight="false" outlineLevel="0" collapsed="false">
      <c r="A648" s="21" t="s">
        <v>817</v>
      </c>
      <c r="B648" s="21" t="s">
        <v>243</v>
      </c>
      <c r="C648" s="21" t="s">
        <v>113</v>
      </c>
      <c r="D648" s="21" t="s">
        <v>114</v>
      </c>
      <c r="E648" s="22" t="n">
        <v>23.94</v>
      </c>
      <c r="F648" s="22" t="n">
        <v>36.05</v>
      </c>
      <c r="G648" s="23" t="n">
        <v>31</v>
      </c>
      <c r="H648" s="23" t="n">
        <v>10</v>
      </c>
      <c r="I648" s="23" t="n">
        <f aca="false">G648-H648</f>
        <v>21</v>
      </c>
      <c r="J648" s="21" t="str">
        <f aca="false">IF(I648&lt;50,"LOW-IN-STOCK","IN-STOCK")</f>
        <v>LOW-IN-STOCK</v>
      </c>
      <c r="K648" s="22" t="n">
        <f aca="false">E648*G648</f>
        <v>742.14</v>
      </c>
      <c r="L648" s="22" t="n">
        <f aca="false">F648*H648</f>
        <v>360.5</v>
      </c>
      <c r="M648" s="22" t="n">
        <f aca="false">L648-K648</f>
        <v>-381.64</v>
      </c>
    </row>
    <row r="649" customFormat="false" ht="15" hidden="false" customHeight="false" outlineLevel="0" collapsed="false">
      <c r="A649" s="21" t="s">
        <v>818</v>
      </c>
      <c r="B649" s="21" t="s">
        <v>97</v>
      </c>
      <c r="C649" s="21" t="s">
        <v>83</v>
      </c>
      <c r="D649" s="21" t="s">
        <v>76</v>
      </c>
      <c r="E649" s="22" t="n">
        <v>12.34</v>
      </c>
      <c r="F649" s="22" t="n">
        <v>21.67</v>
      </c>
      <c r="G649" s="23" t="n">
        <v>71</v>
      </c>
      <c r="H649" s="23" t="n">
        <v>23</v>
      </c>
      <c r="I649" s="23" t="n">
        <f aca="false">G649-H649</f>
        <v>48</v>
      </c>
      <c r="J649" s="21" t="str">
        <f aca="false">IF(I649&lt;50,"LOW-IN-STOCK","IN-STOCK")</f>
        <v>LOW-IN-STOCK</v>
      </c>
      <c r="K649" s="22" t="n">
        <f aca="false">E649*G649</f>
        <v>876.14</v>
      </c>
      <c r="L649" s="22" t="n">
        <f aca="false">F649*H649</f>
        <v>498.41</v>
      </c>
      <c r="M649" s="22" t="n">
        <f aca="false">L649-K649</f>
        <v>-377.73</v>
      </c>
    </row>
    <row r="650" customFormat="false" ht="15" hidden="false" customHeight="false" outlineLevel="0" collapsed="false">
      <c r="A650" s="21" t="s">
        <v>819</v>
      </c>
      <c r="B650" s="21" t="s">
        <v>129</v>
      </c>
      <c r="C650" s="21" t="s">
        <v>83</v>
      </c>
      <c r="D650" s="21" t="s">
        <v>114</v>
      </c>
      <c r="E650" s="22" t="n">
        <v>24.53</v>
      </c>
      <c r="F650" s="22" t="n">
        <v>47.05</v>
      </c>
      <c r="G650" s="23" t="n">
        <v>118</v>
      </c>
      <c r="H650" s="23" t="n">
        <v>89</v>
      </c>
      <c r="I650" s="23" t="n">
        <f aca="false">G650-H650</f>
        <v>29</v>
      </c>
      <c r="J650" s="21" t="str">
        <f aca="false">IF(I650&lt;50,"LOW-IN-STOCK","IN-STOCK")</f>
        <v>LOW-IN-STOCK</v>
      </c>
      <c r="K650" s="22" t="n">
        <f aca="false">E650*G650</f>
        <v>2894.54</v>
      </c>
      <c r="L650" s="22" t="n">
        <f aca="false">F650*H650</f>
        <v>4187.45</v>
      </c>
      <c r="M650" s="22" t="n">
        <f aca="false">L650-K650</f>
        <v>1292.91</v>
      </c>
    </row>
    <row r="651" customFormat="false" ht="15" hidden="false" customHeight="false" outlineLevel="0" collapsed="false">
      <c r="A651" s="21" t="s">
        <v>820</v>
      </c>
      <c r="B651" s="21" t="s">
        <v>122</v>
      </c>
      <c r="C651" s="21" t="s">
        <v>75</v>
      </c>
      <c r="D651" s="21" t="s">
        <v>137</v>
      </c>
      <c r="E651" s="22" t="n">
        <v>11.06</v>
      </c>
      <c r="F651" s="22" t="n">
        <v>17.81</v>
      </c>
      <c r="G651" s="23" t="n">
        <v>197</v>
      </c>
      <c r="H651" s="23" t="n">
        <v>31</v>
      </c>
      <c r="I651" s="23" t="n">
        <f aca="false">G651-H651</f>
        <v>166</v>
      </c>
      <c r="J651" s="21" t="str">
        <f aca="false">IF(I651&lt;50,"LOW-IN-STOCK","IN-STOCK")</f>
        <v>IN-STOCK</v>
      </c>
      <c r="K651" s="22" t="n">
        <f aca="false">E651*G651</f>
        <v>2178.82</v>
      </c>
      <c r="L651" s="22" t="n">
        <f aca="false">F651*H651</f>
        <v>552.11</v>
      </c>
      <c r="M651" s="22" t="n">
        <f aca="false">L651-K651</f>
        <v>-1626.71</v>
      </c>
    </row>
    <row r="652" customFormat="false" ht="15" hidden="false" customHeight="false" outlineLevel="0" collapsed="false">
      <c r="A652" s="21" t="s">
        <v>821</v>
      </c>
      <c r="B652" s="21" t="s">
        <v>139</v>
      </c>
      <c r="C652" s="21" t="s">
        <v>75</v>
      </c>
      <c r="D652" s="21" t="s">
        <v>76</v>
      </c>
      <c r="E652" s="22" t="n">
        <v>24.23</v>
      </c>
      <c r="F652" s="22" t="n">
        <v>35.04</v>
      </c>
      <c r="G652" s="23" t="n">
        <v>241</v>
      </c>
      <c r="H652" s="23" t="n">
        <v>25</v>
      </c>
      <c r="I652" s="23" t="n">
        <f aca="false">G652-H652</f>
        <v>216</v>
      </c>
      <c r="J652" s="21" t="str">
        <f aca="false">IF(I652&lt;50,"LOW-IN-STOCK","IN-STOCK")</f>
        <v>IN-STOCK</v>
      </c>
      <c r="K652" s="22" t="n">
        <f aca="false">E652*G652</f>
        <v>5839.43</v>
      </c>
      <c r="L652" s="22" t="n">
        <f aca="false">F652*H652</f>
        <v>876</v>
      </c>
      <c r="M652" s="22" t="n">
        <f aca="false">L652-K652</f>
        <v>-4963.43</v>
      </c>
    </row>
    <row r="653" customFormat="false" ht="15" hidden="false" customHeight="false" outlineLevel="0" collapsed="false">
      <c r="A653" s="21" t="s">
        <v>822</v>
      </c>
      <c r="B653" s="21" t="s">
        <v>141</v>
      </c>
      <c r="C653" s="21" t="s">
        <v>107</v>
      </c>
      <c r="D653" s="21" t="s">
        <v>114</v>
      </c>
      <c r="E653" s="22" t="n">
        <v>2.65</v>
      </c>
      <c r="F653" s="22" t="n">
        <v>3.95</v>
      </c>
      <c r="G653" s="23" t="n">
        <v>462</v>
      </c>
      <c r="H653" s="23" t="n">
        <v>120</v>
      </c>
      <c r="I653" s="23" t="n">
        <f aca="false">G653-H653</f>
        <v>342</v>
      </c>
      <c r="J653" s="21" t="str">
        <f aca="false">IF(I653&lt;50,"LOW-IN-STOCK","IN-STOCK")</f>
        <v>IN-STOCK</v>
      </c>
      <c r="K653" s="22" t="n">
        <f aca="false">E653*G653</f>
        <v>1224.3</v>
      </c>
      <c r="L653" s="22" t="n">
        <f aca="false">F653*H653</f>
        <v>474</v>
      </c>
      <c r="M653" s="22" t="n">
        <f aca="false">L653-K653</f>
        <v>-750.3</v>
      </c>
    </row>
    <row r="654" customFormat="false" ht="15" hidden="false" customHeight="false" outlineLevel="0" collapsed="false">
      <c r="A654" s="21" t="s">
        <v>823</v>
      </c>
      <c r="B654" s="21" t="s">
        <v>262</v>
      </c>
      <c r="C654" s="21" t="s">
        <v>75</v>
      </c>
      <c r="D654" s="21" t="s">
        <v>160</v>
      </c>
      <c r="E654" s="22" t="n">
        <v>16.07</v>
      </c>
      <c r="F654" s="22" t="n">
        <v>29.1</v>
      </c>
      <c r="G654" s="23" t="n">
        <v>326</v>
      </c>
      <c r="H654" s="23" t="n">
        <v>295</v>
      </c>
      <c r="I654" s="23" t="n">
        <f aca="false">G654-H654</f>
        <v>31</v>
      </c>
      <c r="J654" s="21" t="str">
        <f aca="false">IF(I654&lt;50,"LOW-IN-STOCK","IN-STOCK")</f>
        <v>LOW-IN-STOCK</v>
      </c>
      <c r="K654" s="22" t="n">
        <f aca="false">E654*G654</f>
        <v>5238.82</v>
      </c>
      <c r="L654" s="22" t="n">
        <f aca="false">F654*H654</f>
        <v>8584.5</v>
      </c>
      <c r="M654" s="22" t="n">
        <f aca="false">L654-K654</f>
        <v>3345.68</v>
      </c>
    </row>
    <row r="655" customFormat="false" ht="15" hidden="false" customHeight="false" outlineLevel="0" collapsed="false">
      <c r="A655" s="21" t="s">
        <v>824</v>
      </c>
      <c r="B655" s="21" t="s">
        <v>195</v>
      </c>
      <c r="C655" s="21" t="s">
        <v>79</v>
      </c>
      <c r="D655" s="21" t="s">
        <v>84</v>
      </c>
      <c r="E655" s="22" t="n">
        <v>15.91</v>
      </c>
      <c r="F655" s="22" t="n">
        <v>23.72</v>
      </c>
      <c r="G655" s="23" t="n">
        <v>419</v>
      </c>
      <c r="H655" s="23" t="n">
        <v>108</v>
      </c>
      <c r="I655" s="23" t="n">
        <f aca="false">G655-H655</f>
        <v>311</v>
      </c>
      <c r="J655" s="21" t="str">
        <f aca="false">IF(I655&lt;50,"LOW-IN-STOCK","IN-STOCK")</f>
        <v>IN-STOCK</v>
      </c>
      <c r="K655" s="22" t="n">
        <f aca="false">E655*G655</f>
        <v>6666.29</v>
      </c>
      <c r="L655" s="22" t="n">
        <f aca="false">F655*H655</f>
        <v>2561.76</v>
      </c>
      <c r="M655" s="22" t="n">
        <f aca="false">L655-K655</f>
        <v>-4104.53</v>
      </c>
    </row>
    <row r="656" customFormat="false" ht="15" hidden="false" customHeight="false" outlineLevel="0" collapsed="false">
      <c r="A656" s="21" t="s">
        <v>825</v>
      </c>
      <c r="B656" s="21" t="s">
        <v>311</v>
      </c>
      <c r="C656" s="21" t="s">
        <v>75</v>
      </c>
      <c r="D656" s="21" t="s">
        <v>84</v>
      </c>
      <c r="E656" s="22" t="n">
        <v>23.1</v>
      </c>
      <c r="F656" s="22" t="n">
        <v>35.7</v>
      </c>
      <c r="G656" s="23" t="n">
        <v>41</v>
      </c>
      <c r="H656" s="23" t="n">
        <v>37</v>
      </c>
      <c r="I656" s="23" t="n">
        <f aca="false">G656-H656</f>
        <v>4</v>
      </c>
      <c r="J656" s="21" t="str">
        <f aca="false">IF(I656&lt;50,"LOW-IN-STOCK","IN-STOCK")</f>
        <v>LOW-IN-STOCK</v>
      </c>
      <c r="K656" s="22" t="n">
        <f aca="false">E656*G656</f>
        <v>947.1</v>
      </c>
      <c r="L656" s="22" t="n">
        <f aca="false">F656*H656</f>
        <v>1320.9</v>
      </c>
      <c r="M656" s="22" t="n">
        <f aca="false">L656-K656</f>
        <v>373.8</v>
      </c>
    </row>
    <row r="657" customFormat="false" ht="15" hidden="false" customHeight="false" outlineLevel="0" collapsed="false">
      <c r="A657" s="21" t="s">
        <v>826</v>
      </c>
      <c r="B657" s="21" t="s">
        <v>287</v>
      </c>
      <c r="C657" s="21" t="s">
        <v>87</v>
      </c>
      <c r="D657" s="21" t="s">
        <v>160</v>
      </c>
      <c r="E657" s="22" t="n">
        <v>15.31</v>
      </c>
      <c r="F657" s="22" t="n">
        <v>27.61</v>
      </c>
      <c r="G657" s="23" t="n">
        <v>95</v>
      </c>
      <c r="H657" s="23" t="n">
        <v>84</v>
      </c>
      <c r="I657" s="23" t="n">
        <f aca="false">G657-H657</f>
        <v>11</v>
      </c>
      <c r="J657" s="21" t="str">
        <f aca="false">IF(I657&lt;50,"LOW-IN-STOCK","IN-STOCK")</f>
        <v>LOW-IN-STOCK</v>
      </c>
      <c r="K657" s="22" t="n">
        <f aca="false">E657*G657</f>
        <v>1454.45</v>
      </c>
      <c r="L657" s="22" t="n">
        <f aca="false">F657*H657</f>
        <v>2319.24</v>
      </c>
      <c r="M657" s="22" t="n">
        <f aca="false">L657-K657</f>
        <v>864.79</v>
      </c>
    </row>
    <row r="658" customFormat="false" ht="15" hidden="false" customHeight="false" outlineLevel="0" collapsed="false">
      <c r="A658" s="21" t="s">
        <v>827</v>
      </c>
      <c r="B658" s="21" t="s">
        <v>207</v>
      </c>
      <c r="C658" s="21" t="s">
        <v>93</v>
      </c>
      <c r="D658" s="21" t="s">
        <v>88</v>
      </c>
      <c r="E658" s="22" t="n">
        <v>11.82</v>
      </c>
      <c r="F658" s="22" t="n">
        <v>19.81</v>
      </c>
      <c r="G658" s="23" t="n">
        <v>259</v>
      </c>
      <c r="H658" s="23" t="n">
        <v>159</v>
      </c>
      <c r="I658" s="23" t="n">
        <f aca="false">G658-H658</f>
        <v>100</v>
      </c>
      <c r="J658" s="21" t="str">
        <f aca="false">IF(I658&lt;50,"LOW-IN-STOCK","IN-STOCK")</f>
        <v>IN-STOCK</v>
      </c>
      <c r="K658" s="22" t="n">
        <f aca="false">E658*G658</f>
        <v>3061.38</v>
      </c>
      <c r="L658" s="22" t="n">
        <f aca="false">F658*H658</f>
        <v>3149.79</v>
      </c>
      <c r="M658" s="22" t="n">
        <f aca="false">L658-K658</f>
        <v>88.4099999999999</v>
      </c>
    </row>
    <row r="659" customFormat="false" ht="15" hidden="false" customHeight="false" outlineLevel="0" collapsed="false">
      <c r="A659" s="21" t="s">
        <v>828</v>
      </c>
      <c r="B659" s="21" t="s">
        <v>174</v>
      </c>
      <c r="C659" s="21" t="s">
        <v>113</v>
      </c>
      <c r="D659" s="21" t="s">
        <v>99</v>
      </c>
      <c r="E659" s="22" t="n">
        <v>33.41</v>
      </c>
      <c r="F659" s="22" t="n">
        <v>70.43</v>
      </c>
      <c r="G659" s="23" t="n">
        <v>499</v>
      </c>
      <c r="H659" s="23" t="n">
        <v>220</v>
      </c>
      <c r="I659" s="23" t="n">
        <f aca="false">G659-H659</f>
        <v>279</v>
      </c>
      <c r="J659" s="21" t="str">
        <f aca="false">IF(I659&lt;50,"LOW-IN-STOCK","IN-STOCK")</f>
        <v>IN-STOCK</v>
      </c>
      <c r="K659" s="22" t="n">
        <f aca="false">E659*G659</f>
        <v>16671.59</v>
      </c>
      <c r="L659" s="22" t="n">
        <f aca="false">F659*H659</f>
        <v>15494.6</v>
      </c>
      <c r="M659" s="22" t="n">
        <f aca="false">L659-K659</f>
        <v>-1176.98999999999</v>
      </c>
    </row>
    <row r="660" customFormat="false" ht="15" hidden="false" customHeight="false" outlineLevel="0" collapsed="false">
      <c r="A660" s="21" t="s">
        <v>829</v>
      </c>
      <c r="B660" s="21" t="s">
        <v>134</v>
      </c>
      <c r="C660" s="21" t="s">
        <v>83</v>
      </c>
      <c r="D660" s="21" t="s">
        <v>84</v>
      </c>
      <c r="E660" s="22" t="n">
        <v>24.57</v>
      </c>
      <c r="F660" s="22" t="n">
        <v>36.98</v>
      </c>
      <c r="G660" s="23" t="n">
        <v>213</v>
      </c>
      <c r="H660" s="23" t="n">
        <v>111</v>
      </c>
      <c r="I660" s="23" t="n">
        <f aca="false">G660-H660</f>
        <v>102</v>
      </c>
      <c r="J660" s="21" t="str">
        <f aca="false">IF(I660&lt;50,"LOW-IN-STOCK","IN-STOCK")</f>
        <v>IN-STOCK</v>
      </c>
      <c r="K660" s="22" t="n">
        <f aca="false">E660*G660</f>
        <v>5233.41</v>
      </c>
      <c r="L660" s="22" t="n">
        <f aca="false">F660*H660</f>
        <v>4104.78</v>
      </c>
      <c r="M660" s="22" t="n">
        <f aca="false">L660-K660</f>
        <v>-1128.63</v>
      </c>
    </row>
    <row r="661" customFormat="false" ht="15" hidden="false" customHeight="false" outlineLevel="0" collapsed="false">
      <c r="A661" s="21" t="s">
        <v>830</v>
      </c>
      <c r="B661" s="21" t="s">
        <v>201</v>
      </c>
      <c r="C661" s="21" t="s">
        <v>107</v>
      </c>
      <c r="D661" s="21" t="s">
        <v>102</v>
      </c>
      <c r="E661" s="22" t="n">
        <v>14.22</v>
      </c>
      <c r="F661" s="22" t="n">
        <v>26.29</v>
      </c>
      <c r="G661" s="23" t="n">
        <v>293</v>
      </c>
      <c r="H661" s="23" t="n">
        <v>161</v>
      </c>
      <c r="I661" s="23" t="n">
        <f aca="false">G661-H661</f>
        <v>132</v>
      </c>
      <c r="J661" s="21" t="str">
        <f aca="false">IF(I661&lt;50,"LOW-IN-STOCK","IN-STOCK")</f>
        <v>IN-STOCK</v>
      </c>
      <c r="K661" s="22" t="n">
        <f aca="false">E661*G661</f>
        <v>4166.46</v>
      </c>
      <c r="L661" s="22" t="n">
        <f aca="false">F661*H661</f>
        <v>4232.69</v>
      </c>
      <c r="M661" s="22" t="n">
        <f aca="false">L661-K661</f>
        <v>66.2299999999996</v>
      </c>
    </row>
    <row r="662" customFormat="false" ht="15" hidden="false" customHeight="false" outlineLevel="0" collapsed="false">
      <c r="A662" s="21" t="s">
        <v>831</v>
      </c>
      <c r="B662" s="21" t="s">
        <v>132</v>
      </c>
      <c r="C662" s="21" t="s">
        <v>87</v>
      </c>
      <c r="D662" s="21" t="s">
        <v>99</v>
      </c>
      <c r="E662" s="22" t="n">
        <v>12.43</v>
      </c>
      <c r="F662" s="22" t="n">
        <v>19.75</v>
      </c>
      <c r="G662" s="23" t="n">
        <v>404</v>
      </c>
      <c r="H662" s="23" t="n">
        <v>68</v>
      </c>
      <c r="I662" s="23" t="n">
        <f aca="false">G662-H662</f>
        <v>336</v>
      </c>
      <c r="J662" s="21" t="str">
        <f aca="false">IF(I662&lt;50,"LOW-IN-STOCK","IN-STOCK")</f>
        <v>IN-STOCK</v>
      </c>
      <c r="K662" s="22" t="n">
        <f aca="false">E662*G662</f>
        <v>5021.72</v>
      </c>
      <c r="L662" s="22" t="n">
        <f aca="false">F662*H662</f>
        <v>1343</v>
      </c>
      <c r="M662" s="22" t="n">
        <f aca="false">L662-K662</f>
        <v>-3678.72</v>
      </c>
    </row>
    <row r="663" customFormat="false" ht="15" hidden="false" customHeight="false" outlineLevel="0" collapsed="false">
      <c r="A663" s="21" t="s">
        <v>832</v>
      </c>
      <c r="B663" s="21" t="s">
        <v>122</v>
      </c>
      <c r="C663" s="21" t="s">
        <v>75</v>
      </c>
      <c r="D663" s="21" t="s">
        <v>88</v>
      </c>
      <c r="E663" s="22" t="n">
        <v>24.93</v>
      </c>
      <c r="F663" s="22" t="n">
        <v>35.33</v>
      </c>
      <c r="G663" s="23" t="n">
        <v>143</v>
      </c>
      <c r="H663" s="23" t="n">
        <v>134</v>
      </c>
      <c r="I663" s="23" t="n">
        <f aca="false">G663-H663</f>
        <v>9</v>
      </c>
      <c r="J663" s="21" t="str">
        <f aca="false">IF(I663&lt;50,"LOW-IN-STOCK","IN-STOCK")</f>
        <v>LOW-IN-STOCK</v>
      </c>
      <c r="K663" s="22" t="n">
        <f aca="false">E663*G663</f>
        <v>3564.99</v>
      </c>
      <c r="L663" s="22" t="n">
        <f aca="false">F663*H663</f>
        <v>4734.22</v>
      </c>
      <c r="M663" s="22" t="n">
        <f aca="false">L663-K663</f>
        <v>1169.23</v>
      </c>
    </row>
    <row r="664" customFormat="false" ht="15" hidden="false" customHeight="false" outlineLevel="0" collapsed="false">
      <c r="A664" s="21" t="s">
        <v>833</v>
      </c>
      <c r="B664" s="21" t="s">
        <v>162</v>
      </c>
      <c r="C664" s="21" t="s">
        <v>113</v>
      </c>
      <c r="D664" s="21" t="s">
        <v>84</v>
      </c>
      <c r="E664" s="22" t="n">
        <v>21.98</v>
      </c>
      <c r="F664" s="22" t="n">
        <v>29.07</v>
      </c>
      <c r="G664" s="23" t="n">
        <v>228</v>
      </c>
      <c r="H664" s="23" t="n">
        <v>110</v>
      </c>
      <c r="I664" s="23" t="n">
        <f aca="false">G664-H664</f>
        <v>118</v>
      </c>
      <c r="J664" s="21" t="str">
        <f aca="false">IF(I664&lt;50,"LOW-IN-STOCK","IN-STOCK")</f>
        <v>IN-STOCK</v>
      </c>
      <c r="K664" s="22" t="n">
        <f aca="false">E664*G664</f>
        <v>5011.44</v>
      </c>
      <c r="L664" s="22" t="n">
        <f aca="false">F664*H664</f>
        <v>3197.7</v>
      </c>
      <c r="M664" s="22" t="n">
        <f aca="false">L664-K664</f>
        <v>-1813.74</v>
      </c>
    </row>
    <row r="665" customFormat="false" ht="15" hidden="false" customHeight="false" outlineLevel="0" collapsed="false">
      <c r="A665" s="21" t="s">
        <v>834</v>
      </c>
      <c r="B665" s="21" t="s">
        <v>92</v>
      </c>
      <c r="C665" s="21" t="s">
        <v>93</v>
      </c>
      <c r="D665" s="21" t="s">
        <v>84</v>
      </c>
      <c r="E665" s="22" t="n">
        <v>7.32</v>
      </c>
      <c r="F665" s="22" t="n">
        <v>11.21</v>
      </c>
      <c r="G665" s="23" t="n">
        <v>348</v>
      </c>
      <c r="H665" s="23" t="n">
        <v>328</v>
      </c>
      <c r="I665" s="23" t="n">
        <f aca="false">G665-H665</f>
        <v>20</v>
      </c>
      <c r="J665" s="21" t="str">
        <f aca="false">IF(I665&lt;50,"LOW-IN-STOCK","IN-STOCK")</f>
        <v>LOW-IN-STOCK</v>
      </c>
      <c r="K665" s="22" t="n">
        <f aca="false">E665*G665</f>
        <v>2547.36</v>
      </c>
      <c r="L665" s="22" t="n">
        <f aca="false">F665*H665</f>
        <v>3676.88</v>
      </c>
      <c r="M665" s="22" t="n">
        <f aca="false">L665-K665</f>
        <v>1129.52</v>
      </c>
    </row>
    <row r="666" customFormat="false" ht="15" hidden="false" customHeight="false" outlineLevel="0" collapsed="false">
      <c r="A666" s="21" t="s">
        <v>835</v>
      </c>
      <c r="B666" s="21" t="s">
        <v>106</v>
      </c>
      <c r="C666" s="21" t="s">
        <v>107</v>
      </c>
      <c r="D666" s="21" t="s">
        <v>137</v>
      </c>
      <c r="E666" s="22" t="n">
        <v>8.96</v>
      </c>
      <c r="F666" s="22" t="n">
        <v>17.19</v>
      </c>
      <c r="G666" s="23" t="n">
        <v>413</v>
      </c>
      <c r="H666" s="23" t="n">
        <v>102</v>
      </c>
      <c r="I666" s="23" t="n">
        <f aca="false">G666-H666</f>
        <v>311</v>
      </c>
      <c r="J666" s="21" t="str">
        <f aca="false">IF(I666&lt;50,"LOW-IN-STOCK","IN-STOCK")</f>
        <v>IN-STOCK</v>
      </c>
      <c r="K666" s="22" t="n">
        <f aca="false">E666*G666</f>
        <v>3700.48</v>
      </c>
      <c r="L666" s="22" t="n">
        <f aca="false">F666*H666</f>
        <v>1753.38</v>
      </c>
      <c r="M666" s="22" t="n">
        <f aca="false">L666-K666</f>
        <v>-1947.1</v>
      </c>
    </row>
    <row r="667" customFormat="false" ht="15" hidden="false" customHeight="false" outlineLevel="0" collapsed="false">
      <c r="A667" s="21" t="s">
        <v>836</v>
      </c>
      <c r="B667" s="21" t="s">
        <v>78</v>
      </c>
      <c r="C667" s="21" t="s">
        <v>79</v>
      </c>
      <c r="D667" s="21" t="s">
        <v>99</v>
      </c>
      <c r="E667" s="22" t="n">
        <v>11.25</v>
      </c>
      <c r="F667" s="22" t="n">
        <v>19.32</v>
      </c>
      <c r="G667" s="23" t="n">
        <v>388</v>
      </c>
      <c r="H667" s="23" t="n">
        <v>90</v>
      </c>
      <c r="I667" s="23" t="n">
        <f aca="false">G667-H667</f>
        <v>298</v>
      </c>
      <c r="J667" s="21" t="str">
        <f aca="false">IF(I667&lt;50,"LOW-IN-STOCK","IN-STOCK")</f>
        <v>IN-STOCK</v>
      </c>
      <c r="K667" s="22" t="n">
        <f aca="false">E667*G667</f>
        <v>4365</v>
      </c>
      <c r="L667" s="22" t="n">
        <f aca="false">F667*H667</f>
        <v>1738.8</v>
      </c>
      <c r="M667" s="22" t="n">
        <f aca="false">L667-K667</f>
        <v>-2626.2</v>
      </c>
    </row>
    <row r="668" customFormat="false" ht="15" hidden="false" customHeight="false" outlineLevel="0" collapsed="false">
      <c r="A668" s="21" t="s">
        <v>837</v>
      </c>
      <c r="B668" s="21" t="s">
        <v>276</v>
      </c>
      <c r="C668" s="21" t="s">
        <v>83</v>
      </c>
      <c r="D668" s="21" t="s">
        <v>114</v>
      </c>
      <c r="E668" s="22" t="n">
        <v>7.94</v>
      </c>
      <c r="F668" s="22" t="n">
        <v>17.39</v>
      </c>
      <c r="G668" s="23" t="n">
        <v>162</v>
      </c>
      <c r="H668" s="23" t="n">
        <v>28</v>
      </c>
      <c r="I668" s="23" t="n">
        <f aca="false">G668-H668</f>
        <v>134</v>
      </c>
      <c r="J668" s="21" t="str">
        <f aca="false">IF(I668&lt;50,"LOW-IN-STOCK","IN-STOCK")</f>
        <v>IN-STOCK</v>
      </c>
      <c r="K668" s="22" t="n">
        <f aca="false">E668*G668</f>
        <v>1286.28</v>
      </c>
      <c r="L668" s="22" t="n">
        <f aca="false">F668*H668</f>
        <v>486.92</v>
      </c>
      <c r="M668" s="22" t="n">
        <f aca="false">L668-K668</f>
        <v>-799.36</v>
      </c>
    </row>
    <row r="669" customFormat="false" ht="15" hidden="false" customHeight="false" outlineLevel="0" collapsed="false">
      <c r="A669" s="21" t="s">
        <v>838</v>
      </c>
      <c r="B669" s="21" t="s">
        <v>243</v>
      </c>
      <c r="C669" s="21" t="s">
        <v>113</v>
      </c>
      <c r="D669" s="21" t="s">
        <v>160</v>
      </c>
      <c r="E669" s="22" t="n">
        <v>32.73</v>
      </c>
      <c r="F669" s="22" t="n">
        <v>48.96</v>
      </c>
      <c r="G669" s="23" t="n">
        <v>399</v>
      </c>
      <c r="H669" s="23" t="n">
        <v>128</v>
      </c>
      <c r="I669" s="23" t="n">
        <f aca="false">G669-H669</f>
        <v>271</v>
      </c>
      <c r="J669" s="21" t="str">
        <f aca="false">IF(I669&lt;50,"LOW-IN-STOCK","IN-STOCK")</f>
        <v>IN-STOCK</v>
      </c>
      <c r="K669" s="22" t="n">
        <f aca="false">E669*G669</f>
        <v>13059.27</v>
      </c>
      <c r="L669" s="22" t="n">
        <f aca="false">F669*H669</f>
        <v>6266.88</v>
      </c>
      <c r="M669" s="22" t="n">
        <f aca="false">L669-K669</f>
        <v>-6792.39</v>
      </c>
    </row>
    <row r="670" customFormat="false" ht="15" hidden="false" customHeight="false" outlineLevel="0" collapsed="false">
      <c r="A670" s="21" t="s">
        <v>839</v>
      </c>
      <c r="B670" s="21" t="s">
        <v>332</v>
      </c>
      <c r="C670" s="21" t="s">
        <v>107</v>
      </c>
      <c r="D670" s="21" t="s">
        <v>137</v>
      </c>
      <c r="E670" s="22" t="n">
        <v>10.44</v>
      </c>
      <c r="F670" s="22" t="n">
        <v>15.98</v>
      </c>
      <c r="G670" s="23" t="n">
        <v>67</v>
      </c>
      <c r="H670" s="23" t="n">
        <v>13</v>
      </c>
      <c r="I670" s="23" t="n">
        <f aca="false">G670-H670</f>
        <v>54</v>
      </c>
      <c r="J670" s="21" t="str">
        <f aca="false">IF(I670&lt;50,"LOW-IN-STOCK","IN-STOCK")</f>
        <v>IN-STOCK</v>
      </c>
      <c r="K670" s="22" t="n">
        <f aca="false">E670*G670</f>
        <v>699.48</v>
      </c>
      <c r="L670" s="22" t="n">
        <f aca="false">F670*H670</f>
        <v>207.74</v>
      </c>
      <c r="M670" s="22" t="n">
        <f aca="false">L670-K670</f>
        <v>-491.74</v>
      </c>
    </row>
    <row r="671" customFormat="false" ht="15" hidden="false" customHeight="false" outlineLevel="0" collapsed="false">
      <c r="A671" s="21" t="s">
        <v>840</v>
      </c>
      <c r="B671" s="21" t="s">
        <v>319</v>
      </c>
      <c r="C671" s="21" t="s">
        <v>113</v>
      </c>
      <c r="D671" s="21" t="s">
        <v>160</v>
      </c>
      <c r="E671" s="22" t="n">
        <v>16.21</v>
      </c>
      <c r="F671" s="22" t="n">
        <v>25.2</v>
      </c>
      <c r="G671" s="23" t="n">
        <v>236</v>
      </c>
      <c r="H671" s="23" t="n">
        <v>41</v>
      </c>
      <c r="I671" s="23" t="n">
        <f aca="false">G671-H671</f>
        <v>195</v>
      </c>
      <c r="J671" s="21" t="str">
        <f aca="false">IF(I671&lt;50,"LOW-IN-STOCK","IN-STOCK")</f>
        <v>IN-STOCK</v>
      </c>
      <c r="K671" s="22" t="n">
        <f aca="false">E671*G671</f>
        <v>3825.56</v>
      </c>
      <c r="L671" s="22" t="n">
        <f aca="false">F671*H671</f>
        <v>1033.2</v>
      </c>
      <c r="M671" s="22" t="n">
        <f aca="false">L671-K671</f>
        <v>-2792.36</v>
      </c>
    </row>
    <row r="672" customFormat="false" ht="15" hidden="false" customHeight="false" outlineLevel="0" collapsed="false">
      <c r="A672" s="21" t="s">
        <v>841</v>
      </c>
      <c r="B672" s="21" t="s">
        <v>145</v>
      </c>
      <c r="C672" s="21" t="s">
        <v>87</v>
      </c>
      <c r="D672" s="21" t="s">
        <v>137</v>
      </c>
      <c r="E672" s="22" t="n">
        <v>13.29</v>
      </c>
      <c r="F672" s="22" t="n">
        <v>26.52</v>
      </c>
      <c r="G672" s="23" t="n">
        <v>219</v>
      </c>
      <c r="H672" s="23" t="n">
        <v>45</v>
      </c>
      <c r="I672" s="23" t="n">
        <f aca="false">G672-H672</f>
        <v>174</v>
      </c>
      <c r="J672" s="21" t="str">
        <f aca="false">IF(I672&lt;50,"LOW-IN-STOCK","IN-STOCK")</f>
        <v>IN-STOCK</v>
      </c>
      <c r="K672" s="22" t="n">
        <f aca="false">E672*G672</f>
        <v>2910.51</v>
      </c>
      <c r="L672" s="22" t="n">
        <f aca="false">F672*H672</f>
        <v>1193.4</v>
      </c>
      <c r="M672" s="22" t="n">
        <f aca="false">L672-K672</f>
        <v>-1717.11</v>
      </c>
    </row>
    <row r="673" customFormat="false" ht="15" hidden="false" customHeight="false" outlineLevel="0" collapsed="false">
      <c r="A673" s="21" t="s">
        <v>842</v>
      </c>
      <c r="B673" s="21" t="s">
        <v>280</v>
      </c>
      <c r="C673" s="21" t="s">
        <v>83</v>
      </c>
      <c r="D673" s="21" t="s">
        <v>99</v>
      </c>
      <c r="E673" s="22" t="n">
        <v>15.6</v>
      </c>
      <c r="F673" s="22" t="n">
        <v>20.86</v>
      </c>
      <c r="G673" s="23" t="n">
        <v>471</v>
      </c>
      <c r="H673" s="23" t="n">
        <v>139</v>
      </c>
      <c r="I673" s="23" t="n">
        <f aca="false">G673-H673</f>
        <v>332</v>
      </c>
      <c r="J673" s="21" t="str">
        <f aca="false">IF(I673&lt;50,"LOW-IN-STOCK","IN-STOCK")</f>
        <v>IN-STOCK</v>
      </c>
      <c r="K673" s="22" t="n">
        <f aca="false">E673*G673</f>
        <v>7347.6</v>
      </c>
      <c r="L673" s="22" t="n">
        <f aca="false">F673*H673</f>
        <v>2899.54</v>
      </c>
      <c r="M673" s="22" t="n">
        <f aca="false">L673-K673</f>
        <v>-4448.06</v>
      </c>
    </row>
    <row r="674" customFormat="false" ht="15" hidden="false" customHeight="false" outlineLevel="0" collapsed="false">
      <c r="A674" s="21" t="s">
        <v>843</v>
      </c>
      <c r="B674" s="21" t="s">
        <v>184</v>
      </c>
      <c r="C674" s="21" t="s">
        <v>148</v>
      </c>
      <c r="D674" s="21" t="s">
        <v>88</v>
      </c>
      <c r="E674" s="22" t="n">
        <v>57.82</v>
      </c>
      <c r="F674" s="22" t="n">
        <v>80.07</v>
      </c>
      <c r="G674" s="23" t="n">
        <v>235</v>
      </c>
      <c r="H674" s="23" t="n">
        <v>151</v>
      </c>
      <c r="I674" s="23" t="n">
        <f aca="false">G674-H674</f>
        <v>84</v>
      </c>
      <c r="J674" s="21" t="str">
        <f aca="false">IF(I674&lt;50,"LOW-IN-STOCK","IN-STOCK")</f>
        <v>IN-STOCK</v>
      </c>
      <c r="K674" s="22" t="n">
        <f aca="false">E674*G674</f>
        <v>13587.7</v>
      </c>
      <c r="L674" s="22" t="n">
        <f aca="false">F674*H674</f>
        <v>12090.57</v>
      </c>
      <c r="M674" s="22" t="n">
        <f aca="false">L674-K674</f>
        <v>-1497.13</v>
      </c>
    </row>
    <row r="675" customFormat="false" ht="15" hidden="false" customHeight="false" outlineLevel="0" collapsed="false">
      <c r="A675" s="21" t="s">
        <v>844</v>
      </c>
      <c r="B675" s="21" t="s">
        <v>447</v>
      </c>
      <c r="C675" s="21" t="s">
        <v>148</v>
      </c>
      <c r="D675" s="21" t="s">
        <v>160</v>
      </c>
      <c r="E675" s="22" t="n">
        <v>65.2</v>
      </c>
      <c r="F675" s="22" t="n">
        <v>131.63</v>
      </c>
      <c r="G675" s="23" t="n">
        <v>497</v>
      </c>
      <c r="H675" s="23" t="n">
        <v>432</v>
      </c>
      <c r="I675" s="23" t="n">
        <f aca="false">G675-H675</f>
        <v>65</v>
      </c>
      <c r="J675" s="21" t="str">
        <f aca="false">IF(I675&lt;50,"LOW-IN-STOCK","IN-STOCK")</f>
        <v>IN-STOCK</v>
      </c>
      <c r="K675" s="22" t="n">
        <f aca="false">E675*G675</f>
        <v>32404.4</v>
      </c>
      <c r="L675" s="22" t="n">
        <f aca="false">F675*H675</f>
        <v>56864.16</v>
      </c>
      <c r="M675" s="22" t="n">
        <f aca="false">L675-K675</f>
        <v>24459.76</v>
      </c>
    </row>
    <row r="676" customFormat="false" ht="15" hidden="false" customHeight="false" outlineLevel="0" collapsed="false">
      <c r="A676" s="21" t="s">
        <v>845</v>
      </c>
      <c r="B676" s="21" t="s">
        <v>132</v>
      </c>
      <c r="C676" s="21" t="s">
        <v>87</v>
      </c>
      <c r="D676" s="21" t="s">
        <v>102</v>
      </c>
      <c r="E676" s="22" t="n">
        <v>6.8</v>
      </c>
      <c r="F676" s="22" t="n">
        <v>11.03</v>
      </c>
      <c r="G676" s="23" t="n">
        <v>252</v>
      </c>
      <c r="H676" s="23" t="n">
        <v>185</v>
      </c>
      <c r="I676" s="23" t="n">
        <f aca="false">G676-H676</f>
        <v>67</v>
      </c>
      <c r="J676" s="21" t="str">
        <f aca="false">IF(I676&lt;50,"LOW-IN-STOCK","IN-STOCK")</f>
        <v>IN-STOCK</v>
      </c>
      <c r="K676" s="22" t="n">
        <f aca="false">E676*G676</f>
        <v>1713.6</v>
      </c>
      <c r="L676" s="22" t="n">
        <f aca="false">F676*H676</f>
        <v>2040.55</v>
      </c>
      <c r="M676" s="22" t="n">
        <f aca="false">L676-K676</f>
        <v>326.95</v>
      </c>
    </row>
    <row r="677" customFormat="false" ht="15" hidden="false" customHeight="false" outlineLevel="0" collapsed="false">
      <c r="A677" s="21" t="s">
        <v>846</v>
      </c>
      <c r="B677" s="21" t="s">
        <v>227</v>
      </c>
      <c r="C677" s="21" t="s">
        <v>148</v>
      </c>
      <c r="D677" s="21" t="s">
        <v>80</v>
      </c>
      <c r="E677" s="22" t="n">
        <v>31.05</v>
      </c>
      <c r="F677" s="22" t="n">
        <v>43.23</v>
      </c>
      <c r="G677" s="23" t="n">
        <v>480</v>
      </c>
      <c r="H677" s="23" t="n">
        <v>357</v>
      </c>
      <c r="I677" s="23" t="n">
        <f aca="false">G677-H677</f>
        <v>123</v>
      </c>
      <c r="J677" s="21" t="str">
        <f aca="false">IF(I677&lt;50,"LOW-IN-STOCK","IN-STOCK")</f>
        <v>IN-STOCK</v>
      </c>
      <c r="K677" s="22" t="n">
        <f aca="false">E677*G677</f>
        <v>14904</v>
      </c>
      <c r="L677" s="22" t="n">
        <f aca="false">F677*H677</f>
        <v>15433.11</v>
      </c>
      <c r="M677" s="22" t="n">
        <f aca="false">L677-K677</f>
        <v>529.109999999999</v>
      </c>
    </row>
    <row r="678" customFormat="false" ht="15" hidden="false" customHeight="false" outlineLevel="0" collapsed="false">
      <c r="A678" s="21" t="s">
        <v>847</v>
      </c>
      <c r="B678" s="21" t="s">
        <v>319</v>
      </c>
      <c r="C678" s="21" t="s">
        <v>113</v>
      </c>
      <c r="D678" s="21" t="s">
        <v>137</v>
      </c>
      <c r="E678" s="22" t="n">
        <v>11.91</v>
      </c>
      <c r="F678" s="22" t="n">
        <v>21.88</v>
      </c>
      <c r="G678" s="23" t="n">
        <v>472</v>
      </c>
      <c r="H678" s="23" t="n">
        <v>397</v>
      </c>
      <c r="I678" s="23" t="n">
        <f aca="false">G678-H678</f>
        <v>75</v>
      </c>
      <c r="J678" s="21" t="str">
        <f aca="false">IF(I678&lt;50,"LOW-IN-STOCK","IN-STOCK")</f>
        <v>IN-STOCK</v>
      </c>
      <c r="K678" s="22" t="n">
        <f aca="false">E678*G678</f>
        <v>5621.52</v>
      </c>
      <c r="L678" s="22" t="n">
        <f aca="false">F678*H678</f>
        <v>8686.36</v>
      </c>
      <c r="M678" s="22" t="n">
        <f aca="false">L678-K678</f>
        <v>3064.84</v>
      </c>
    </row>
    <row r="679" customFormat="false" ht="15" hidden="false" customHeight="false" outlineLevel="0" collapsed="false">
      <c r="A679" s="21" t="s">
        <v>848</v>
      </c>
      <c r="B679" s="21" t="s">
        <v>97</v>
      </c>
      <c r="C679" s="21" t="s">
        <v>83</v>
      </c>
      <c r="D679" s="21" t="s">
        <v>76</v>
      </c>
      <c r="E679" s="22" t="n">
        <v>9.31</v>
      </c>
      <c r="F679" s="22" t="n">
        <v>12.53</v>
      </c>
      <c r="G679" s="23" t="n">
        <v>428</v>
      </c>
      <c r="H679" s="23" t="n">
        <v>293</v>
      </c>
      <c r="I679" s="23" t="n">
        <f aca="false">G679-H679</f>
        <v>135</v>
      </c>
      <c r="J679" s="21" t="str">
        <f aca="false">IF(I679&lt;50,"LOW-IN-STOCK","IN-STOCK")</f>
        <v>IN-STOCK</v>
      </c>
      <c r="K679" s="22" t="n">
        <f aca="false">E679*G679</f>
        <v>3984.68</v>
      </c>
      <c r="L679" s="22" t="n">
        <f aca="false">F679*H679</f>
        <v>3671.29</v>
      </c>
      <c r="M679" s="22" t="n">
        <f aca="false">L679-K679</f>
        <v>-313.39</v>
      </c>
    </row>
    <row r="680" customFormat="false" ht="15" hidden="false" customHeight="false" outlineLevel="0" collapsed="false">
      <c r="A680" s="21" t="s">
        <v>849</v>
      </c>
      <c r="B680" s="21" t="s">
        <v>95</v>
      </c>
      <c r="C680" s="21" t="s">
        <v>75</v>
      </c>
      <c r="D680" s="21" t="s">
        <v>102</v>
      </c>
      <c r="E680" s="22" t="n">
        <v>4.93</v>
      </c>
      <c r="F680" s="22" t="n">
        <v>6.64</v>
      </c>
      <c r="G680" s="23" t="n">
        <v>239</v>
      </c>
      <c r="H680" s="23" t="n">
        <v>143</v>
      </c>
      <c r="I680" s="23" t="n">
        <f aca="false">G680-H680</f>
        <v>96</v>
      </c>
      <c r="J680" s="21" t="str">
        <f aca="false">IF(I680&lt;50,"LOW-IN-STOCK","IN-STOCK")</f>
        <v>IN-STOCK</v>
      </c>
      <c r="K680" s="22" t="n">
        <f aca="false">E680*G680</f>
        <v>1178.27</v>
      </c>
      <c r="L680" s="22" t="n">
        <f aca="false">F680*H680</f>
        <v>949.52</v>
      </c>
      <c r="M680" s="22" t="n">
        <f aca="false">L680-K680</f>
        <v>-228.75</v>
      </c>
    </row>
    <row r="681" customFormat="false" ht="15" hidden="false" customHeight="false" outlineLevel="0" collapsed="false">
      <c r="A681" s="21" t="s">
        <v>850</v>
      </c>
      <c r="B681" s="21" t="s">
        <v>201</v>
      </c>
      <c r="C681" s="21" t="s">
        <v>107</v>
      </c>
      <c r="D681" s="21" t="s">
        <v>137</v>
      </c>
      <c r="E681" s="22" t="n">
        <v>1.67</v>
      </c>
      <c r="F681" s="22" t="n">
        <v>3.08</v>
      </c>
      <c r="G681" s="23" t="n">
        <v>225</v>
      </c>
      <c r="H681" s="23" t="n">
        <v>147</v>
      </c>
      <c r="I681" s="23" t="n">
        <f aca="false">G681-H681</f>
        <v>78</v>
      </c>
      <c r="J681" s="21" t="str">
        <f aca="false">IF(I681&lt;50,"LOW-IN-STOCK","IN-STOCK")</f>
        <v>IN-STOCK</v>
      </c>
      <c r="K681" s="22" t="n">
        <f aca="false">E681*G681</f>
        <v>375.75</v>
      </c>
      <c r="L681" s="22" t="n">
        <f aca="false">F681*H681</f>
        <v>452.76</v>
      </c>
      <c r="M681" s="22" t="n">
        <f aca="false">L681-K681</f>
        <v>77.01</v>
      </c>
    </row>
    <row r="682" customFormat="false" ht="15" hidden="false" customHeight="false" outlineLevel="0" collapsed="false">
      <c r="A682" s="21" t="s">
        <v>851</v>
      </c>
      <c r="B682" s="21" t="s">
        <v>332</v>
      </c>
      <c r="C682" s="21" t="s">
        <v>107</v>
      </c>
      <c r="D682" s="21" t="s">
        <v>88</v>
      </c>
      <c r="E682" s="22" t="n">
        <v>8.46</v>
      </c>
      <c r="F682" s="22" t="n">
        <v>14.7</v>
      </c>
      <c r="G682" s="23" t="n">
        <v>461</v>
      </c>
      <c r="H682" s="23" t="n">
        <v>214</v>
      </c>
      <c r="I682" s="23" t="n">
        <f aca="false">G682-H682</f>
        <v>247</v>
      </c>
      <c r="J682" s="21" t="str">
        <f aca="false">IF(I682&lt;50,"LOW-IN-STOCK","IN-STOCK")</f>
        <v>IN-STOCK</v>
      </c>
      <c r="K682" s="22" t="n">
        <f aca="false">E682*G682</f>
        <v>3900.06</v>
      </c>
      <c r="L682" s="22" t="n">
        <f aca="false">F682*H682</f>
        <v>3145.8</v>
      </c>
      <c r="M682" s="22" t="n">
        <f aca="false">L682-K682</f>
        <v>-754.260000000001</v>
      </c>
    </row>
    <row r="683" customFormat="false" ht="15" hidden="false" customHeight="false" outlineLevel="0" collapsed="false">
      <c r="A683" s="21" t="s">
        <v>852</v>
      </c>
      <c r="B683" s="21" t="s">
        <v>359</v>
      </c>
      <c r="C683" s="21" t="s">
        <v>75</v>
      </c>
      <c r="D683" s="21" t="s">
        <v>76</v>
      </c>
      <c r="E683" s="22" t="n">
        <v>22.04</v>
      </c>
      <c r="F683" s="22" t="n">
        <v>46.64</v>
      </c>
      <c r="G683" s="23" t="n">
        <v>135</v>
      </c>
      <c r="H683" s="23" t="n">
        <v>67</v>
      </c>
      <c r="I683" s="23" t="n">
        <f aca="false">G683-H683</f>
        <v>68</v>
      </c>
      <c r="J683" s="21" t="str">
        <f aca="false">IF(I683&lt;50,"LOW-IN-STOCK","IN-STOCK")</f>
        <v>IN-STOCK</v>
      </c>
      <c r="K683" s="22" t="n">
        <f aca="false">E683*G683</f>
        <v>2975.4</v>
      </c>
      <c r="L683" s="22" t="n">
        <f aca="false">F683*H683</f>
        <v>3124.88</v>
      </c>
      <c r="M683" s="22" t="n">
        <f aca="false">L683-K683</f>
        <v>149.48</v>
      </c>
    </row>
    <row r="684" customFormat="false" ht="15" hidden="false" customHeight="false" outlineLevel="0" collapsed="false">
      <c r="A684" s="21" t="s">
        <v>853</v>
      </c>
      <c r="B684" s="21" t="s">
        <v>195</v>
      </c>
      <c r="C684" s="21" t="s">
        <v>79</v>
      </c>
      <c r="D684" s="21" t="s">
        <v>102</v>
      </c>
      <c r="E684" s="22" t="n">
        <v>10.19</v>
      </c>
      <c r="F684" s="22" t="n">
        <v>17.78</v>
      </c>
      <c r="G684" s="23" t="n">
        <v>288</v>
      </c>
      <c r="H684" s="23" t="n">
        <v>205</v>
      </c>
      <c r="I684" s="23" t="n">
        <f aca="false">G684-H684</f>
        <v>83</v>
      </c>
      <c r="J684" s="21" t="str">
        <f aca="false">IF(I684&lt;50,"LOW-IN-STOCK","IN-STOCK")</f>
        <v>IN-STOCK</v>
      </c>
      <c r="K684" s="22" t="n">
        <f aca="false">E684*G684</f>
        <v>2934.72</v>
      </c>
      <c r="L684" s="22" t="n">
        <f aca="false">F684*H684</f>
        <v>3644.9</v>
      </c>
      <c r="M684" s="22" t="n">
        <f aca="false">L684-K684</f>
        <v>710.18</v>
      </c>
    </row>
    <row r="685" customFormat="false" ht="15" hidden="false" customHeight="false" outlineLevel="0" collapsed="false">
      <c r="A685" s="21" t="s">
        <v>854</v>
      </c>
      <c r="B685" s="21" t="s">
        <v>101</v>
      </c>
      <c r="C685" s="21" t="s">
        <v>83</v>
      </c>
      <c r="D685" s="21" t="s">
        <v>76</v>
      </c>
      <c r="E685" s="22" t="n">
        <v>19.81</v>
      </c>
      <c r="F685" s="22" t="n">
        <v>36.13</v>
      </c>
      <c r="G685" s="23" t="n">
        <v>356</v>
      </c>
      <c r="H685" s="23" t="n">
        <v>237</v>
      </c>
      <c r="I685" s="23" t="n">
        <f aca="false">G685-H685</f>
        <v>119</v>
      </c>
      <c r="J685" s="21" t="str">
        <f aca="false">IF(I685&lt;50,"LOW-IN-STOCK","IN-STOCK")</f>
        <v>IN-STOCK</v>
      </c>
      <c r="K685" s="22" t="n">
        <f aca="false">E685*G685</f>
        <v>7052.36</v>
      </c>
      <c r="L685" s="22" t="n">
        <f aca="false">F685*H685</f>
        <v>8562.81</v>
      </c>
      <c r="M685" s="22" t="n">
        <f aca="false">L685-K685</f>
        <v>1510.45</v>
      </c>
    </row>
    <row r="686" customFormat="false" ht="15" hidden="false" customHeight="false" outlineLevel="0" collapsed="false">
      <c r="A686" s="21" t="s">
        <v>855</v>
      </c>
      <c r="B686" s="21" t="s">
        <v>124</v>
      </c>
      <c r="C686" s="21" t="s">
        <v>79</v>
      </c>
      <c r="D686" s="21" t="s">
        <v>99</v>
      </c>
      <c r="E686" s="22" t="n">
        <v>9.89</v>
      </c>
      <c r="F686" s="22" t="n">
        <v>20.11</v>
      </c>
      <c r="G686" s="23" t="n">
        <v>494</v>
      </c>
      <c r="H686" s="23" t="n">
        <v>204</v>
      </c>
      <c r="I686" s="23" t="n">
        <f aca="false">G686-H686</f>
        <v>290</v>
      </c>
      <c r="J686" s="21" t="str">
        <f aca="false">IF(I686&lt;50,"LOW-IN-STOCK","IN-STOCK")</f>
        <v>IN-STOCK</v>
      </c>
      <c r="K686" s="22" t="n">
        <f aca="false">E686*G686</f>
        <v>4885.66</v>
      </c>
      <c r="L686" s="22" t="n">
        <f aca="false">F686*H686</f>
        <v>4102.44</v>
      </c>
      <c r="M686" s="22" t="n">
        <f aca="false">L686-K686</f>
        <v>-783.22</v>
      </c>
    </row>
    <row r="687" customFormat="false" ht="15" hidden="false" customHeight="false" outlineLevel="0" collapsed="false">
      <c r="A687" s="21" t="s">
        <v>856</v>
      </c>
      <c r="B687" s="21" t="s">
        <v>122</v>
      </c>
      <c r="C687" s="21" t="s">
        <v>75</v>
      </c>
      <c r="D687" s="21" t="s">
        <v>76</v>
      </c>
      <c r="E687" s="22" t="n">
        <v>23.36</v>
      </c>
      <c r="F687" s="22" t="n">
        <v>31.68</v>
      </c>
      <c r="G687" s="23" t="n">
        <v>89</v>
      </c>
      <c r="H687" s="23" t="n">
        <v>27</v>
      </c>
      <c r="I687" s="23" t="n">
        <f aca="false">G687-H687</f>
        <v>62</v>
      </c>
      <c r="J687" s="21" t="str">
        <f aca="false">IF(I687&lt;50,"LOW-IN-STOCK","IN-STOCK")</f>
        <v>IN-STOCK</v>
      </c>
      <c r="K687" s="22" t="n">
        <f aca="false">E687*G687</f>
        <v>2079.04</v>
      </c>
      <c r="L687" s="22" t="n">
        <f aca="false">F687*H687</f>
        <v>855.36</v>
      </c>
      <c r="M687" s="22" t="n">
        <f aca="false">L687-K687</f>
        <v>-1223.68</v>
      </c>
    </row>
    <row r="688" customFormat="false" ht="15" hidden="false" customHeight="false" outlineLevel="0" collapsed="false">
      <c r="A688" s="21" t="s">
        <v>857</v>
      </c>
      <c r="B688" s="21" t="s">
        <v>186</v>
      </c>
      <c r="C688" s="21" t="s">
        <v>83</v>
      </c>
      <c r="D688" s="21" t="s">
        <v>84</v>
      </c>
      <c r="E688" s="22" t="n">
        <v>7.94</v>
      </c>
      <c r="F688" s="22" t="n">
        <v>14.96</v>
      </c>
      <c r="G688" s="23" t="n">
        <v>153</v>
      </c>
      <c r="H688" s="23" t="n">
        <v>104</v>
      </c>
      <c r="I688" s="23" t="n">
        <f aca="false">G688-H688</f>
        <v>49</v>
      </c>
      <c r="J688" s="21" t="str">
        <f aca="false">IF(I688&lt;50,"LOW-IN-STOCK","IN-STOCK")</f>
        <v>LOW-IN-STOCK</v>
      </c>
      <c r="K688" s="22" t="n">
        <f aca="false">E688*G688</f>
        <v>1214.82</v>
      </c>
      <c r="L688" s="22" t="n">
        <f aca="false">F688*H688</f>
        <v>1555.84</v>
      </c>
      <c r="M688" s="22" t="n">
        <f aca="false">L688-K688</f>
        <v>341.02</v>
      </c>
    </row>
    <row r="689" customFormat="false" ht="15" hidden="false" customHeight="false" outlineLevel="0" collapsed="false">
      <c r="A689" s="21" t="s">
        <v>858</v>
      </c>
      <c r="B689" s="21" t="s">
        <v>216</v>
      </c>
      <c r="C689" s="21" t="s">
        <v>107</v>
      </c>
      <c r="D689" s="21" t="s">
        <v>137</v>
      </c>
      <c r="E689" s="22" t="n">
        <v>9.79</v>
      </c>
      <c r="F689" s="22" t="n">
        <v>20.59</v>
      </c>
      <c r="G689" s="23" t="n">
        <v>449</v>
      </c>
      <c r="H689" s="23" t="n">
        <v>243</v>
      </c>
      <c r="I689" s="23" t="n">
        <f aca="false">G689-H689</f>
        <v>206</v>
      </c>
      <c r="J689" s="21" t="str">
        <f aca="false">IF(I689&lt;50,"LOW-IN-STOCK","IN-STOCK")</f>
        <v>IN-STOCK</v>
      </c>
      <c r="K689" s="22" t="n">
        <f aca="false">E689*G689</f>
        <v>4395.71</v>
      </c>
      <c r="L689" s="22" t="n">
        <f aca="false">F689*H689</f>
        <v>5003.37</v>
      </c>
      <c r="M689" s="22" t="n">
        <f aca="false">L689-K689</f>
        <v>607.66</v>
      </c>
    </row>
    <row r="690" customFormat="false" ht="15" hidden="false" customHeight="false" outlineLevel="0" collapsed="false">
      <c r="A690" s="21" t="s">
        <v>859</v>
      </c>
      <c r="B690" s="21" t="s">
        <v>311</v>
      </c>
      <c r="C690" s="21" t="s">
        <v>75</v>
      </c>
      <c r="D690" s="21" t="s">
        <v>137</v>
      </c>
      <c r="E690" s="22" t="n">
        <v>16.72</v>
      </c>
      <c r="F690" s="22" t="n">
        <v>36.22</v>
      </c>
      <c r="G690" s="23" t="n">
        <v>27</v>
      </c>
      <c r="H690" s="23" t="n">
        <v>7</v>
      </c>
      <c r="I690" s="23" t="n">
        <f aca="false">G690-H690</f>
        <v>20</v>
      </c>
      <c r="J690" s="21" t="str">
        <f aca="false">IF(I690&lt;50,"LOW-IN-STOCK","IN-STOCK")</f>
        <v>LOW-IN-STOCK</v>
      </c>
      <c r="K690" s="22" t="n">
        <f aca="false">E690*G690</f>
        <v>451.44</v>
      </c>
      <c r="L690" s="22" t="n">
        <f aca="false">F690*H690</f>
        <v>253.54</v>
      </c>
      <c r="M690" s="22" t="n">
        <f aca="false">L690-K690</f>
        <v>-197.9</v>
      </c>
    </row>
    <row r="691" customFormat="false" ht="15" hidden="false" customHeight="false" outlineLevel="0" collapsed="false">
      <c r="A691" s="21" t="s">
        <v>860</v>
      </c>
      <c r="B691" s="21" t="s">
        <v>118</v>
      </c>
      <c r="C691" s="21" t="s">
        <v>79</v>
      </c>
      <c r="D691" s="21" t="s">
        <v>88</v>
      </c>
      <c r="E691" s="22" t="n">
        <v>10.03</v>
      </c>
      <c r="F691" s="22" t="n">
        <v>13.42</v>
      </c>
      <c r="G691" s="23" t="n">
        <v>172</v>
      </c>
      <c r="H691" s="23" t="n">
        <v>154</v>
      </c>
      <c r="I691" s="23" t="n">
        <f aca="false">G691-H691</f>
        <v>18</v>
      </c>
      <c r="J691" s="21" t="str">
        <f aca="false">IF(I691&lt;50,"LOW-IN-STOCK","IN-STOCK")</f>
        <v>LOW-IN-STOCK</v>
      </c>
      <c r="K691" s="22" t="n">
        <f aca="false">E691*G691</f>
        <v>1725.16</v>
      </c>
      <c r="L691" s="22" t="n">
        <f aca="false">F691*H691</f>
        <v>2066.68</v>
      </c>
      <c r="M691" s="22" t="n">
        <f aca="false">L691-K691</f>
        <v>341.52</v>
      </c>
    </row>
    <row r="692" customFormat="false" ht="15" hidden="false" customHeight="false" outlineLevel="0" collapsed="false">
      <c r="A692" s="21" t="s">
        <v>861</v>
      </c>
      <c r="B692" s="21" t="s">
        <v>216</v>
      </c>
      <c r="C692" s="21" t="s">
        <v>107</v>
      </c>
      <c r="D692" s="21" t="s">
        <v>108</v>
      </c>
      <c r="E692" s="22" t="n">
        <v>2.05</v>
      </c>
      <c r="F692" s="22" t="n">
        <v>4.16</v>
      </c>
      <c r="G692" s="23" t="n">
        <v>196</v>
      </c>
      <c r="H692" s="23" t="n">
        <v>99</v>
      </c>
      <c r="I692" s="23" t="n">
        <f aca="false">G692-H692</f>
        <v>97</v>
      </c>
      <c r="J692" s="21" t="str">
        <f aca="false">IF(I692&lt;50,"LOW-IN-STOCK","IN-STOCK")</f>
        <v>IN-STOCK</v>
      </c>
      <c r="K692" s="22" t="n">
        <f aca="false">E692*G692</f>
        <v>401.8</v>
      </c>
      <c r="L692" s="22" t="n">
        <f aca="false">F692*H692</f>
        <v>411.84</v>
      </c>
      <c r="M692" s="22" t="n">
        <f aca="false">L692-K692</f>
        <v>10.0400000000001</v>
      </c>
    </row>
    <row r="693" customFormat="false" ht="15" hidden="false" customHeight="false" outlineLevel="0" collapsed="false">
      <c r="A693" s="21" t="s">
        <v>862</v>
      </c>
      <c r="B693" s="21" t="s">
        <v>250</v>
      </c>
      <c r="C693" s="21" t="s">
        <v>79</v>
      </c>
      <c r="D693" s="21" t="s">
        <v>102</v>
      </c>
      <c r="E693" s="22" t="n">
        <v>19.22</v>
      </c>
      <c r="F693" s="22" t="n">
        <v>28.86</v>
      </c>
      <c r="G693" s="23" t="n">
        <v>449</v>
      </c>
      <c r="H693" s="23" t="n">
        <v>378</v>
      </c>
      <c r="I693" s="23" t="n">
        <f aca="false">G693-H693</f>
        <v>71</v>
      </c>
      <c r="J693" s="21" t="str">
        <f aca="false">IF(I693&lt;50,"LOW-IN-STOCK","IN-STOCK")</f>
        <v>IN-STOCK</v>
      </c>
      <c r="K693" s="22" t="n">
        <f aca="false">E693*G693</f>
        <v>8629.78</v>
      </c>
      <c r="L693" s="22" t="n">
        <f aca="false">F693*H693</f>
        <v>10909.08</v>
      </c>
      <c r="M693" s="22" t="n">
        <f aca="false">L693-K693</f>
        <v>2279.3</v>
      </c>
    </row>
    <row r="694" customFormat="false" ht="15" hidden="false" customHeight="false" outlineLevel="0" collapsed="false">
      <c r="A694" s="21" t="s">
        <v>863</v>
      </c>
      <c r="B694" s="21" t="s">
        <v>106</v>
      </c>
      <c r="C694" s="21" t="s">
        <v>107</v>
      </c>
      <c r="D694" s="21" t="s">
        <v>137</v>
      </c>
      <c r="E694" s="22" t="n">
        <v>13.24</v>
      </c>
      <c r="F694" s="22" t="n">
        <v>24.79</v>
      </c>
      <c r="G694" s="23" t="n">
        <v>87</v>
      </c>
      <c r="H694" s="23" t="n">
        <v>75</v>
      </c>
      <c r="I694" s="23" t="n">
        <f aca="false">G694-H694</f>
        <v>12</v>
      </c>
      <c r="J694" s="21" t="str">
        <f aca="false">IF(I694&lt;50,"LOW-IN-STOCK","IN-STOCK")</f>
        <v>LOW-IN-STOCK</v>
      </c>
      <c r="K694" s="22" t="n">
        <f aca="false">E694*G694</f>
        <v>1151.88</v>
      </c>
      <c r="L694" s="22" t="n">
        <f aca="false">F694*H694</f>
        <v>1859.25</v>
      </c>
      <c r="M694" s="22" t="n">
        <f aca="false">L694-K694</f>
        <v>707.37</v>
      </c>
    </row>
    <row r="695" customFormat="false" ht="15" hidden="false" customHeight="false" outlineLevel="0" collapsed="false">
      <c r="A695" s="21" t="s">
        <v>864</v>
      </c>
      <c r="B695" s="21" t="s">
        <v>145</v>
      </c>
      <c r="C695" s="21" t="s">
        <v>87</v>
      </c>
      <c r="D695" s="21" t="s">
        <v>99</v>
      </c>
      <c r="E695" s="22" t="n">
        <v>24.55</v>
      </c>
      <c r="F695" s="22" t="n">
        <v>36.31</v>
      </c>
      <c r="G695" s="23" t="n">
        <v>151</v>
      </c>
      <c r="H695" s="23" t="n">
        <v>72</v>
      </c>
      <c r="I695" s="23" t="n">
        <f aca="false">G695-H695</f>
        <v>79</v>
      </c>
      <c r="J695" s="21" t="str">
        <f aca="false">IF(I695&lt;50,"LOW-IN-STOCK","IN-STOCK")</f>
        <v>IN-STOCK</v>
      </c>
      <c r="K695" s="22" t="n">
        <f aca="false">E695*G695</f>
        <v>3707.05</v>
      </c>
      <c r="L695" s="22" t="n">
        <f aca="false">F695*H695</f>
        <v>2614.32</v>
      </c>
      <c r="M695" s="22" t="n">
        <f aca="false">L695-K695</f>
        <v>-1092.73</v>
      </c>
    </row>
    <row r="696" customFormat="false" ht="15" hidden="false" customHeight="false" outlineLevel="0" collapsed="false">
      <c r="A696" s="21" t="s">
        <v>865</v>
      </c>
      <c r="B696" s="21" t="s">
        <v>243</v>
      </c>
      <c r="C696" s="21" t="s">
        <v>113</v>
      </c>
      <c r="D696" s="21" t="s">
        <v>99</v>
      </c>
      <c r="E696" s="22" t="n">
        <v>9.05</v>
      </c>
      <c r="F696" s="22" t="n">
        <v>16.64</v>
      </c>
      <c r="G696" s="23" t="n">
        <v>426</v>
      </c>
      <c r="H696" s="23" t="n">
        <v>238</v>
      </c>
      <c r="I696" s="23" t="n">
        <f aca="false">G696-H696</f>
        <v>188</v>
      </c>
      <c r="J696" s="21" t="str">
        <f aca="false">IF(I696&lt;50,"LOW-IN-STOCK","IN-STOCK")</f>
        <v>IN-STOCK</v>
      </c>
      <c r="K696" s="22" t="n">
        <f aca="false">E696*G696</f>
        <v>3855.3</v>
      </c>
      <c r="L696" s="22" t="n">
        <f aca="false">F696*H696</f>
        <v>3960.32</v>
      </c>
      <c r="M696" s="22" t="n">
        <f aca="false">L696-K696</f>
        <v>105.02</v>
      </c>
    </row>
    <row r="697" customFormat="false" ht="15" hidden="false" customHeight="false" outlineLevel="0" collapsed="false">
      <c r="A697" s="21" t="s">
        <v>866</v>
      </c>
      <c r="B697" s="21" t="s">
        <v>319</v>
      </c>
      <c r="C697" s="21" t="s">
        <v>113</v>
      </c>
      <c r="D697" s="21" t="s">
        <v>76</v>
      </c>
      <c r="E697" s="22" t="n">
        <v>9.81</v>
      </c>
      <c r="F697" s="22" t="n">
        <v>13.58</v>
      </c>
      <c r="G697" s="23" t="n">
        <v>185</v>
      </c>
      <c r="H697" s="23" t="n">
        <v>73</v>
      </c>
      <c r="I697" s="23" t="n">
        <f aca="false">G697-H697</f>
        <v>112</v>
      </c>
      <c r="J697" s="21" t="str">
        <f aca="false">IF(I697&lt;50,"LOW-IN-STOCK","IN-STOCK")</f>
        <v>IN-STOCK</v>
      </c>
      <c r="K697" s="22" t="n">
        <f aca="false">E697*G697</f>
        <v>1814.85</v>
      </c>
      <c r="L697" s="22" t="n">
        <f aca="false">F697*H697</f>
        <v>991.34</v>
      </c>
      <c r="M697" s="22" t="n">
        <f aca="false">L697-K697</f>
        <v>-823.51</v>
      </c>
    </row>
    <row r="698" customFormat="false" ht="15" hidden="false" customHeight="false" outlineLevel="0" collapsed="false">
      <c r="A698" s="21" t="s">
        <v>867</v>
      </c>
      <c r="B698" s="21" t="s">
        <v>239</v>
      </c>
      <c r="C698" s="21" t="s">
        <v>113</v>
      </c>
      <c r="D698" s="21" t="s">
        <v>102</v>
      </c>
      <c r="E698" s="22" t="n">
        <v>13.99</v>
      </c>
      <c r="F698" s="22" t="n">
        <v>29.16</v>
      </c>
      <c r="G698" s="23" t="n">
        <v>387</v>
      </c>
      <c r="H698" s="23" t="n">
        <v>332</v>
      </c>
      <c r="I698" s="23" t="n">
        <f aca="false">G698-H698</f>
        <v>55</v>
      </c>
      <c r="J698" s="21" t="str">
        <f aca="false">IF(I698&lt;50,"LOW-IN-STOCK","IN-STOCK")</f>
        <v>IN-STOCK</v>
      </c>
      <c r="K698" s="22" t="n">
        <f aca="false">E698*G698</f>
        <v>5414.13</v>
      </c>
      <c r="L698" s="22" t="n">
        <f aca="false">F698*H698</f>
        <v>9681.12</v>
      </c>
      <c r="M698" s="22" t="n">
        <f aca="false">L698-K698</f>
        <v>4266.99</v>
      </c>
    </row>
    <row r="699" customFormat="false" ht="15" hidden="false" customHeight="false" outlineLevel="0" collapsed="false">
      <c r="A699" s="21" t="s">
        <v>868</v>
      </c>
      <c r="B699" s="21" t="s">
        <v>447</v>
      </c>
      <c r="C699" s="21" t="s">
        <v>148</v>
      </c>
      <c r="D699" s="21" t="s">
        <v>160</v>
      </c>
      <c r="E699" s="22" t="n">
        <v>45.19</v>
      </c>
      <c r="F699" s="22" t="n">
        <v>87.7</v>
      </c>
      <c r="G699" s="23" t="n">
        <v>160</v>
      </c>
      <c r="H699" s="23" t="n">
        <v>100</v>
      </c>
      <c r="I699" s="23" t="n">
        <f aca="false">G699-H699</f>
        <v>60</v>
      </c>
      <c r="J699" s="21" t="str">
        <f aca="false">IF(I699&lt;50,"LOW-IN-STOCK","IN-STOCK")</f>
        <v>IN-STOCK</v>
      </c>
      <c r="K699" s="22" t="n">
        <f aca="false">E699*G699</f>
        <v>7230.4</v>
      </c>
      <c r="L699" s="22" t="n">
        <f aca="false">F699*H699</f>
        <v>8770</v>
      </c>
      <c r="M699" s="22" t="n">
        <f aca="false">L699-K699</f>
        <v>1539.6</v>
      </c>
    </row>
    <row r="700" customFormat="false" ht="15" hidden="false" customHeight="false" outlineLevel="0" collapsed="false">
      <c r="A700" s="21" t="s">
        <v>869</v>
      </c>
      <c r="B700" s="21" t="s">
        <v>176</v>
      </c>
      <c r="C700" s="21" t="s">
        <v>83</v>
      </c>
      <c r="D700" s="21" t="s">
        <v>137</v>
      </c>
      <c r="E700" s="22" t="n">
        <v>8.74</v>
      </c>
      <c r="F700" s="22" t="n">
        <v>18.95</v>
      </c>
      <c r="G700" s="23" t="n">
        <v>21</v>
      </c>
      <c r="H700" s="23" t="n">
        <v>15</v>
      </c>
      <c r="I700" s="23" t="n">
        <f aca="false">G700-H700</f>
        <v>6</v>
      </c>
      <c r="J700" s="21" t="str">
        <f aca="false">IF(I700&lt;50,"LOW-IN-STOCK","IN-STOCK")</f>
        <v>LOW-IN-STOCK</v>
      </c>
      <c r="K700" s="22" t="n">
        <f aca="false">E700*G700</f>
        <v>183.54</v>
      </c>
      <c r="L700" s="22" t="n">
        <f aca="false">F700*H700</f>
        <v>284.25</v>
      </c>
      <c r="M700" s="22" t="n">
        <f aca="false">L700-K700</f>
        <v>100.71</v>
      </c>
    </row>
    <row r="701" customFormat="false" ht="15" hidden="false" customHeight="false" outlineLevel="0" collapsed="false">
      <c r="A701" s="21" t="s">
        <v>870</v>
      </c>
      <c r="B701" s="21" t="s">
        <v>95</v>
      </c>
      <c r="C701" s="21" t="s">
        <v>75</v>
      </c>
      <c r="D701" s="21" t="s">
        <v>84</v>
      </c>
      <c r="E701" s="22" t="n">
        <v>27.61</v>
      </c>
      <c r="F701" s="22" t="n">
        <v>56.91</v>
      </c>
      <c r="G701" s="23" t="n">
        <v>338</v>
      </c>
      <c r="H701" s="23" t="n">
        <v>181</v>
      </c>
      <c r="I701" s="23" t="n">
        <f aca="false">G701-H701</f>
        <v>157</v>
      </c>
      <c r="J701" s="21" t="str">
        <f aca="false">IF(I701&lt;50,"LOW-IN-STOCK","IN-STOCK")</f>
        <v>IN-STOCK</v>
      </c>
      <c r="K701" s="22" t="n">
        <f aca="false">E701*G701</f>
        <v>9332.18</v>
      </c>
      <c r="L701" s="22" t="n">
        <f aca="false">F701*H701</f>
        <v>10300.71</v>
      </c>
      <c r="M701" s="22" t="n">
        <f aca="false">L701-K701</f>
        <v>968.529999999999</v>
      </c>
    </row>
    <row r="702" customFormat="false" ht="15" hidden="false" customHeight="false" outlineLevel="0" collapsed="false">
      <c r="A702" s="21" t="s">
        <v>871</v>
      </c>
      <c r="B702" s="21" t="s">
        <v>82</v>
      </c>
      <c r="C702" s="21" t="s">
        <v>83</v>
      </c>
      <c r="D702" s="21" t="s">
        <v>114</v>
      </c>
      <c r="E702" s="22" t="n">
        <v>8.05</v>
      </c>
      <c r="F702" s="22" t="n">
        <v>10.7</v>
      </c>
      <c r="G702" s="23" t="n">
        <v>288</v>
      </c>
      <c r="H702" s="23" t="n">
        <v>37</v>
      </c>
      <c r="I702" s="23" t="n">
        <f aca="false">G702-H702</f>
        <v>251</v>
      </c>
      <c r="J702" s="21" t="str">
        <f aca="false">IF(I702&lt;50,"LOW-IN-STOCK","IN-STOCK")</f>
        <v>IN-STOCK</v>
      </c>
      <c r="K702" s="22" t="n">
        <f aca="false">E702*G702</f>
        <v>2318.4</v>
      </c>
      <c r="L702" s="22" t="n">
        <f aca="false">F702*H702</f>
        <v>395.9</v>
      </c>
      <c r="M702" s="22" t="n">
        <f aca="false">L702-K702</f>
        <v>-1922.5</v>
      </c>
    </row>
    <row r="703" customFormat="false" ht="15" hidden="false" customHeight="false" outlineLevel="0" collapsed="false">
      <c r="A703" s="21" t="s">
        <v>872</v>
      </c>
      <c r="B703" s="21" t="s">
        <v>82</v>
      </c>
      <c r="C703" s="21" t="s">
        <v>83</v>
      </c>
      <c r="D703" s="21" t="s">
        <v>108</v>
      </c>
      <c r="E703" s="22" t="n">
        <v>15.07</v>
      </c>
      <c r="F703" s="22" t="n">
        <v>27.59</v>
      </c>
      <c r="G703" s="23" t="n">
        <v>223</v>
      </c>
      <c r="H703" s="23" t="n">
        <v>70</v>
      </c>
      <c r="I703" s="23" t="n">
        <f aca="false">G703-H703</f>
        <v>153</v>
      </c>
      <c r="J703" s="21" t="str">
        <f aca="false">IF(I703&lt;50,"LOW-IN-STOCK","IN-STOCK")</f>
        <v>IN-STOCK</v>
      </c>
      <c r="K703" s="22" t="n">
        <f aca="false">E703*G703</f>
        <v>3360.61</v>
      </c>
      <c r="L703" s="22" t="n">
        <f aca="false">F703*H703</f>
        <v>1931.3</v>
      </c>
      <c r="M703" s="22" t="n">
        <f aca="false">L703-K703</f>
        <v>-1429.31</v>
      </c>
    </row>
    <row r="704" customFormat="false" ht="15" hidden="false" customHeight="false" outlineLevel="0" collapsed="false">
      <c r="A704" s="21" t="s">
        <v>873</v>
      </c>
      <c r="B704" s="21" t="s">
        <v>229</v>
      </c>
      <c r="C704" s="21" t="s">
        <v>113</v>
      </c>
      <c r="D704" s="21" t="s">
        <v>88</v>
      </c>
      <c r="E704" s="22" t="n">
        <v>6.9</v>
      </c>
      <c r="F704" s="22" t="n">
        <v>10.14</v>
      </c>
      <c r="G704" s="23" t="n">
        <v>205</v>
      </c>
      <c r="H704" s="23" t="n">
        <v>107</v>
      </c>
      <c r="I704" s="23" t="n">
        <f aca="false">G704-H704</f>
        <v>98</v>
      </c>
      <c r="J704" s="21" t="str">
        <f aca="false">IF(I704&lt;50,"LOW-IN-STOCK","IN-STOCK")</f>
        <v>IN-STOCK</v>
      </c>
      <c r="K704" s="22" t="n">
        <f aca="false">E704*G704</f>
        <v>1414.5</v>
      </c>
      <c r="L704" s="22" t="n">
        <f aca="false">F704*H704</f>
        <v>1084.98</v>
      </c>
      <c r="M704" s="22" t="n">
        <f aca="false">L704-K704</f>
        <v>-329.52</v>
      </c>
    </row>
    <row r="705" customFormat="false" ht="15" hidden="false" customHeight="false" outlineLevel="0" collapsed="false">
      <c r="A705" s="21" t="s">
        <v>874</v>
      </c>
      <c r="B705" s="21" t="s">
        <v>262</v>
      </c>
      <c r="C705" s="21" t="s">
        <v>75</v>
      </c>
      <c r="D705" s="21" t="s">
        <v>108</v>
      </c>
      <c r="E705" s="22" t="n">
        <v>26.38</v>
      </c>
      <c r="F705" s="22" t="n">
        <v>49.78</v>
      </c>
      <c r="G705" s="23" t="n">
        <v>33</v>
      </c>
      <c r="H705" s="23" t="n">
        <v>28</v>
      </c>
      <c r="I705" s="23" t="n">
        <f aca="false">G705-H705</f>
        <v>5</v>
      </c>
      <c r="J705" s="21" t="str">
        <f aca="false">IF(I705&lt;50,"LOW-IN-STOCK","IN-STOCK")</f>
        <v>LOW-IN-STOCK</v>
      </c>
      <c r="K705" s="22" t="n">
        <f aca="false">E705*G705</f>
        <v>870.54</v>
      </c>
      <c r="L705" s="22" t="n">
        <f aca="false">F705*H705</f>
        <v>1393.84</v>
      </c>
      <c r="M705" s="22" t="n">
        <f aca="false">L705-K705</f>
        <v>523.3</v>
      </c>
    </row>
    <row r="706" customFormat="false" ht="15" hidden="false" customHeight="false" outlineLevel="0" collapsed="false">
      <c r="A706" s="21" t="s">
        <v>875</v>
      </c>
      <c r="B706" s="21" t="s">
        <v>195</v>
      </c>
      <c r="C706" s="21" t="s">
        <v>79</v>
      </c>
      <c r="D706" s="21" t="s">
        <v>114</v>
      </c>
      <c r="E706" s="22" t="n">
        <v>17.53</v>
      </c>
      <c r="F706" s="22" t="n">
        <v>35.6</v>
      </c>
      <c r="G706" s="23" t="n">
        <v>238</v>
      </c>
      <c r="H706" s="23" t="n">
        <v>156</v>
      </c>
      <c r="I706" s="23" t="n">
        <f aca="false">G706-H706</f>
        <v>82</v>
      </c>
      <c r="J706" s="21" t="str">
        <f aca="false">IF(I706&lt;50,"LOW-IN-STOCK","IN-STOCK")</f>
        <v>IN-STOCK</v>
      </c>
      <c r="K706" s="22" t="n">
        <f aca="false">E706*G706</f>
        <v>4172.14</v>
      </c>
      <c r="L706" s="22" t="n">
        <f aca="false">F706*H706</f>
        <v>5553.6</v>
      </c>
      <c r="M706" s="22" t="n">
        <f aca="false">L706-K706</f>
        <v>1381.46</v>
      </c>
    </row>
    <row r="707" customFormat="false" ht="15" hidden="false" customHeight="false" outlineLevel="0" collapsed="false">
      <c r="A707" s="21" t="s">
        <v>876</v>
      </c>
      <c r="B707" s="21" t="s">
        <v>211</v>
      </c>
      <c r="C707" s="21" t="s">
        <v>113</v>
      </c>
      <c r="D707" s="21" t="s">
        <v>114</v>
      </c>
      <c r="E707" s="22" t="n">
        <v>24.03</v>
      </c>
      <c r="F707" s="22" t="n">
        <v>45.7</v>
      </c>
      <c r="G707" s="23" t="n">
        <v>249</v>
      </c>
      <c r="H707" s="23" t="n">
        <v>46</v>
      </c>
      <c r="I707" s="23" t="n">
        <f aca="false">G707-H707</f>
        <v>203</v>
      </c>
      <c r="J707" s="21" t="str">
        <f aca="false">IF(I707&lt;50,"LOW-IN-STOCK","IN-STOCK")</f>
        <v>IN-STOCK</v>
      </c>
      <c r="K707" s="22" t="n">
        <f aca="false">E707*G707</f>
        <v>5983.47</v>
      </c>
      <c r="L707" s="22" t="n">
        <f aca="false">F707*H707</f>
        <v>2102.2</v>
      </c>
      <c r="M707" s="22" t="n">
        <f aca="false">L707-K707</f>
        <v>-3881.27</v>
      </c>
    </row>
    <row r="708" customFormat="false" ht="15" hidden="false" customHeight="false" outlineLevel="0" collapsed="false">
      <c r="A708" s="21" t="s">
        <v>877</v>
      </c>
      <c r="B708" s="21" t="s">
        <v>86</v>
      </c>
      <c r="C708" s="21" t="s">
        <v>87</v>
      </c>
      <c r="D708" s="21" t="s">
        <v>114</v>
      </c>
      <c r="E708" s="22" t="n">
        <v>16.33</v>
      </c>
      <c r="F708" s="22" t="n">
        <v>34.05</v>
      </c>
      <c r="G708" s="23" t="n">
        <v>410</v>
      </c>
      <c r="H708" s="23" t="n">
        <v>231</v>
      </c>
      <c r="I708" s="23" t="n">
        <f aca="false">G708-H708</f>
        <v>179</v>
      </c>
      <c r="J708" s="21" t="str">
        <f aca="false">IF(I708&lt;50,"LOW-IN-STOCK","IN-STOCK")</f>
        <v>IN-STOCK</v>
      </c>
      <c r="K708" s="22" t="n">
        <f aca="false">E708*G708</f>
        <v>6695.3</v>
      </c>
      <c r="L708" s="22" t="n">
        <f aca="false">F708*H708</f>
        <v>7865.55</v>
      </c>
      <c r="M708" s="22" t="n">
        <f aca="false">L708-K708</f>
        <v>1170.25</v>
      </c>
    </row>
    <row r="709" customFormat="false" ht="15" hidden="false" customHeight="false" outlineLevel="0" collapsed="false">
      <c r="A709" s="21" t="s">
        <v>878</v>
      </c>
      <c r="B709" s="21" t="s">
        <v>122</v>
      </c>
      <c r="C709" s="21" t="s">
        <v>75</v>
      </c>
      <c r="D709" s="21" t="s">
        <v>99</v>
      </c>
      <c r="E709" s="22" t="n">
        <v>27.91</v>
      </c>
      <c r="F709" s="22" t="n">
        <v>49.2</v>
      </c>
      <c r="G709" s="23" t="n">
        <v>204</v>
      </c>
      <c r="H709" s="23" t="n">
        <v>189</v>
      </c>
      <c r="I709" s="23" t="n">
        <f aca="false">G709-H709</f>
        <v>15</v>
      </c>
      <c r="J709" s="21" t="str">
        <f aca="false">IF(I709&lt;50,"LOW-IN-STOCK","IN-STOCK")</f>
        <v>LOW-IN-STOCK</v>
      </c>
      <c r="K709" s="22" t="n">
        <f aca="false">E709*G709</f>
        <v>5693.64</v>
      </c>
      <c r="L709" s="22" t="n">
        <f aca="false">F709*H709</f>
        <v>9298.8</v>
      </c>
      <c r="M709" s="22" t="n">
        <f aca="false">L709-K709</f>
        <v>3605.16</v>
      </c>
    </row>
    <row r="710" customFormat="false" ht="15" hidden="false" customHeight="false" outlineLevel="0" collapsed="false">
      <c r="A710" s="21" t="s">
        <v>879</v>
      </c>
      <c r="B710" s="21" t="s">
        <v>201</v>
      </c>
      <c r="C710" s="21" t="s">
        <v>107</v>
      </c>
      <c r="D710" s="21" t="s">
        <v>80</v>
      </c>
      <c r="E710" s="22" t="n">
        <v>11.65</v>
      </c>
      <c r="F710" s="22" t="n">
        <v>17.55</v>
      </c>
      <c r="G710" s="23" t="n">
        <v>332</v>
      </c>
      <c r="H710" s="23" t="n">
        <v>185</v>
      </c>
      <c r="I710" s="23" t="n">
        <f aca="false">G710-H710</f>
        <v>147</v>
      </c>
      <c r="J710" s="21" t="str">
        <f aca="false">IF(I710&lt;50,"LOW-IN-STOCK","IN-STOCK")</f>
        <v>IN-STOCK</v>
      </c>
      <c r="K710" s="22" t="n">
        <f aca="false">E710*G710</f>
        <v>3867.8</v>
      </c>
      <c r="L710" s="22" t="n">
        <f aca="false">F710*H710</f>
        <v>3246.75</v>
      </c>
      <c r="M710" s="22" t="n">
        <f aca="false">L710-K710</f>
        <v>-621.05</v>
      </c>
    </row>
    <row r="711" customFormat="false" ht="15" hidden="false" customHeight="false" outlineLevel="0" collapsed="false">
      <c r="A711" s="21" t="s">
        <v>880</v>
      </c>
      <c r="B711" s="21" t="s">
        <v>126</v>
      </c>
      <c r="C711" s="21" t="s">
        <v>79</v>
      </c>
      <c r="D711" s="21" t="s">
        <v>99</v>
      </c>
      <c r="E711" s="22" t="n">
        <v>8.93</v>
      </c>
      <c r="F711" s="22" t="n">
        <v>16.55</v>
      </c>
      <c r="G711" s="23" t="n">
        <v>35</v>
      </c>
      <c r="H711" s="23" t="n">
        <v>29</v>
      </c>
      <c r="I711" s="23" t="n">
        <f aca="false">G711-H711</f>
        <v>6</v>
      </c>
      <c r="J711" s="21" t="str">
        <f aca="false">IF(I711&lt;50,"LOW-IN-STOCK","IN-STOCK")</f>
        <v>LOW-IN-STOCK</v>
      </c>
      <c r="K711" s="22" t="n">
        <f aca="false">E711*G711</f>
        <v>312.55</v>
      </c>
      <c r="L711" s="22" t="n">
        <f aca="false">F711*H711</f>
        <v>479.95</v>
      </c>
      <c r="M711" s="22" t="n">
        <f aca="false">L711-K711</f>
        <v>167.4</v>
      </c>
    </row>
    <row r="712" customFormat="false" ht="15" hidden="false" customHeight="false" outlineLevel="0" collapsed="false">
      <c r="A712" s="21" t="s">
        <v>881</v>
      </c>
      <c r="B712" s="21" t="s">
        <v>176</v>
      </c>
      <c r="C712" s="21" t="s">
        <v>83</v>
      </c>
      <c r="D712" s="21" t="s">
        <v>114</v>
      </c>
      <c r="E712" s="22" t="n">
        <v>17.79</v>
      </c>
      <c r="F712" s="22" t="n">
        <v>38.39</v>
      </c>
      <c r="G712" s="23" t="n">
        <v>195</v>
      </c>
      <c r="H712" s="23" t="n">
        <v>46</v>
      </c>
      <c r="I712" s="23" t="n">
        <f aca="false">G712-H712</f>
        <v>149</v>
      </c>
      <c r="J712" s="21" t="str">
        <f aca="false">IF(I712&lt;50,"LOW-IN-STOCK","IN-STOCK")</f>
        <v>IN-STOCK</v>
      </c>
      <c r="K712" s="22" t="n">
        <f aca="false">E712*G712</f>
        <v>3469.05</v>
      </c>
      <c r="L712" s="22" t="n">
        <f aca="false">F712*H712</f>
        <v>1765.94</v>
      </c>
      <c r="M712" s="22" t="n">
        <f aca="false">L712-K712</f>
        <v>-1703.11</v>
      </c>
    </row>
    <row r="713" customFormat="false" ht="15" hidden="false" customHeight="false" outlineLevel="0" collapsed="false">
      <c r="A713" s="21" t="s">
        <v>882</v>
      </c>
      <c r="B713" s="21" t="s">
        <v>106</v>
      </c>
      <c r="C713" s="21" t="s">
        <v>107</v>
      </c>
      <c r="D713" s="21" t="s">
        <v>84</v>
      </c>
      <c r="E713" s="22" t="n">
        <v>1.8</v>
      </c>
      <c r="F713" s="22" t="n">
        <v>2.76</v>
      </c>
      <c r="G713" s="23" t="n">
        <v>233</v>
      </c>
      <c r="H713" s="23" t="n">
        <v>58</v>
      </c>
      <c r="I713" s="23" t="n">
        <f aca="false">G713-H713</f>
        <v>175</v>
      </c>
      <c r="J713" s="21" t="str">
        <f aca="false">IF(I713&lt;50,"LOW-IN-STOCK","IN-STOCK")</f>
        <v>IN-STOCK</v>
      </c>
      <c r="K713" s="22" t="n">
        <f aca="false">E713*G713</f>
        <v>419.4</v>
      </c>
      <c r="L713" s="22" t="n">
        <f aca="false">F713*H713</f>
        <v>160.08</v>
      </c>
      <c r="M713" s="22" t="n">
        <f aca="false">L713-K713</f>
        <v>-259.32</v>
      </c>
    </row>
    <row r="714" customFormat="false" ht="15" hidden="false" customHeight="false" outlineLevel="0" collapsed="false">
      <c r="A714" s="21" t="s">
        <v>883</v>
      </c>
      <c r="B714" s="21" t="s">
        <v>232</v>
      </c>
      <c r="C714" s="21" t="s">
        <v>79</v>
      </c>
      <c r="D714" s="21" t="s">
        <v>76</v>
      </c>
      <c r="E714" s="22" t="n">
        <v>7.63</v>
      </c>
      <c r="F714" s="22" t="n">
        <v>14.27</v>
      </c>
      <c r="G714" s="23" t="n">
        <v>315</v>
      </c>
      <c r="H714" s="23" t="n">
        <v>276</v>
      </c>
      <c r="I714" s="23" t="n">
        <f aca="false">G714-H714</f>
        <v>39</v>
      </c>
      <c r="J714" s="21" t="str">
        <f aca="false">IF(I714&lt;50,"LOW-IN-STOCK","IN-STOCK")</f>
        <v>LOW-IN-STOCK</v>
      </c>
      <c r="K714" s="22" t="n">
        <f aca="false">E714*G714</f>
        <v>2403.45</v>
      </c>
      <c r="L714" s="22" t="n">
        <f aca="false">F714*H714</f>
        <v>3938.52</v>
      </c>
      <c r="M714" s="22" t="n">
        <f aca="false">L714-K714</f>
        <v>1535.07</v>
      </c>
    </row>
    <row r="715" customFormat="false" ht="15" hidden="false" customHeight="false" outlineLevel="0" collapsed="false">
      <c r="A715" s="21" t="s">
        <v>884</v>
      </c>
      <c r="B715" s="21" t="s">
        <v>191</v>
      </c>
      <c r="C715" s="21" t="s">
        <v>148</v>
      </c>
      <c r="D715" s="21" t="s">
        <v>137</v>
      </c>
      <c r="E715" s="22" t="n">
        <v>59.31</v>
      </c>
      <c r="F715" s="22" t="n">
        <v>126.14</v>
      </c>
      <c r="G715" s="23" t="n">
        <v>228</v>
      </c>
      <c r="H715" s="23" t="n">
        <v>61</v>
      </c>
      <c r="I715" s="23" t="n">
        <f aca="false">G715-H715</f>
        <v>167</v>
      </c>
      <c r="J715" s="21" t="str">
        <f aca="false">IF(I715&lt;50,"LOW-IN-STOCK","IN-STOCK")</f>
        <v>IN-STOCK</v>
      </c>
      <c r="K715" s="22" t="n">
        <f aca="false">E715*G715</f>
        <v>13522.68</v>
      </c>
      <c r="L715" s="22" t="n">
        <f aca="false">F715*H715</f>
        <v>7694.54</v>
      </c>
      <c r="M715" s="22" t="n">
        <f aca="false">L715-K715</f>
        <v>-5828.14</v>
      </c>
    </row>
    <row r="716" customFormat="false" ht="15" hidden="false" customHeight="false" outlineLevel="0" collapsed="false">
      <c r="A716" s="21" t="s">
        <v>885</v>
      </c>
      <c r="B716" s="21" t="s">
        <v>92</v>
      </c>
      <c r="C716" s="21" t="s">
        <v>93</v>
      </c>
      <c r="D716" s="21" t="s">
        <v>80</v>
      </c>
      <c r="E716" s="22" t="n">
        <v>9.27</v>
      </c>
      <c r="F716" s="22" t="n">
        <v>17.82</v>
      </c>
      <c r="G716" s="23" t="n">
        <v>207</v>
      </c>
      <c r="H716" s="23" t="n">
        <v>31</v>
      </c>
      <c r="I716" s="23" t="n">
        <f aca="false">G716-H716</f>
        <v>176</v>
      </c>
      <c r="J716" s="21" t="str">
        <f aca="false">IF(I716&lt;50,"LOW-IN-STOCK","IN-STOCK")</f>
        <v>IN-STOCK</v>
      </c>
      <c r="K716" s="22" t="n">
        <f aca="false">E716*G716</f>
        <v>1918.89</v>
      </c>
      <c r="L716" s="22" t="n">
        <f aca="false">F716*H716</f>
        <v>552.42</v>
      </c>
      <c r="M716" s="22" t="n">
        <f aca="false">L716-K716</f>
        <v>-1366.47</v>
      </c>
    </row>
    <row r="717" customFormat="false" ht="15" hidden="false" customHeight="false" outlineLevel="0" collapsed="false">
      <c r="A717" s="21" t="s">
        <v>886</v>
      </c>
      <c r="B717" s="21" t="s">
        <v>106</v>
      </c>
      <c r="C717" s="21" t="s">
        <v>107</v>
      </c>
      <c r="D717" s="21" t="s">
        <v>99</v>
      </c>
      <c r="E717" s="22" t="n">
        <v>7.97</v>
      </c>
      <c r="F717" s="22" t="n">
        <v>14.28</v>
      </c>
      <c r="G717" s="23" t="n">
        <v>348</v>
      </c>
      <c r="H717" s="23" t="n">
        <v>299</v>
      </c>
      <c r="I717" s="23" t="n">
        <f aca="false">G717-H717</f>
        <v>49</v>
      </c>
      <c r="J717" s="21" t="str">
        <f aca="false">IF(I717&lt;50,"LOW-IN-STOCK","IN-STOCK")</f>
        <v>LOW-IN-STOCK</v>
      </c>
      <c r="K717" s="22" t="n">
        <f aca="false">E717*G717</f>
        <v>2773.56</v>
      </c>
      <c r="L717" s="22" t="n">
        <f aca="false">F717*H717</f>
        <v>4269.72</v>
      </c>
      <c r="M717" s="22" t="n">
        <f aca="false">L717-K717</f>
        <v>1496.16</v>
      </c>
    </row>
    <row r="718" customFormat="false" ht="15" hidden="false" customHeight="false" outlineLevel="0" collapsed="false">
      <c r="A718" s="21" t="s">
        <v>887</v>
      </c>
      <c r="B718" s="21" t="s">
        <v>216</v>
      </c>
      <c r="C718" s="21" t="s">
        <v>107</v>
      </c>
      <c r="D718" s="21" t="s">
        <v>114</v>
      </c>
      <c r="E718" s="22" t="n">
        <v>9.33</v>
      </c>
      <c r="F718" s="22" t="n">
        <v>18</v>
      </c>
      <c r="G718" s="23" t="n">
        <v>55</v>
      </c>
      <c r="H718" s="23" t="n">
        <v>27</v>
      </c>
      <c r="I718" s="23" t="n">
        <f aca="false">G718-H718</f>
        <v>28</v>
      </c>
      <c r="J718" s="21" t="str">
        <f aca="false">IF(I718&lt;50,"LOW-IN-STOCK","IN-STOCK")</f>
        <v>LOW-IN-STOCK</v>
      </c>
      <c r="K718" s="22" t="n">
        <f aca="false">E718*G718</f>
        <v>513.15</v>
      </c>
      <c r="L718" s="22" t="n">
        <f aca="false">F718*H718</f>
        <v>486</v>
      </c>
      <c r="M718" s="22" t="n">
        <f aca="false">L718-K718</f>
        <v>-27.15</v>
      </c>
    </row>
    <row r="719" customFormat="false" ht="15" hidden="false" customHeight="false" outlineLevel="0" collapsed="false">
      <c r="A719" s="21" t="s">
        <v>888</v>
      </c>
      <c r="B719" s="21" t="s">
        <v>86</v>
      </c>
      <c r="C719" s="21" t="s">
        <v>87</v>
      </c>
      <c r="D719" s="21" t="s">
        <v>137</v>
      </c>
      <c r="E719" s="22" t="n">
        <v>14.88</v>
      </c>
      <c r="F719" s="22" t="n">
        <v>31.44</v>
      </c>
      <c r="G719" s="23" t="n">
        <v>399</v>
      </c>
      <c r="H719" s="23" t="n">
        <v>285</v>
      </c>
      <c r="I719" s="23" t="n">
        <f aca="false">G719-H719</f>
        <v>114</v>
      </c>
      <c r="J719" s="21" t="str">
        <f aca="false">IF(I719&lt;50,"LOW-IN-STOCK","IN-STOCK")</f>
        <v>IN-STOCK</v>
      </c>
      <c r="K719" s="22" t="n">
        <f aca="false">E719*G719</f>
        <v>5937.12</v>
      </c>
      <c r="L719" s="22" t="n">
        <f aca="false">F719*H719</f>
        <v>8960.4</v>
      </c>
      <c r="M719" s="22" t="n">
        <f aca="false">L719-K719</f>
        <v>3023.28</v>
      </c>
    </row>
    <row r="720" customFormat="false" ht="15" hidden="false" customHeight="false" outlineLevel="0" collapsed="false">
      <c r="A720" s="21" t="s">
        <v>889</v>
      </c>
      <c r="B720" s="21" t="s">
        <v>209</v>
      </c>
      <c r="C720" s="21" t="s">
        <v>107</v>
      </c>
      <c r="D720" s="21" t="s">
        <v>84</v>
      </c>
      <c r="E720" s="22" t="n">
        <v>12.81</v>
      </c>
      <c r="F720" s="22" t="n">
        <v>24.49</v>
      </c>
      <c r="G720" s="23" t="n">
        <v>261</v>
      </c>
      <c r="H720" s="23" t="n">
        <v>114</v>
      </c>
      <c r="I720" s="23" t="n">
        <f aca="false">G720-H720</f>
        <v>147</v>
      </c>
      <c r="J720" s="21" t="str">
        <f aca="false">IF(I720&lt;50,"LOW-IN-STOCK","IN-STOCK")</f>
        <v>IN-STOCK</v>
      </c>
      <c r="K720" s="22" t="n">
        <f aca="false">E720*G720</f>
        <v>3343.41</v>
      </c>
      <c r="L720" s="22" t="n">
        <f aca="false">F720*H720</f>
        <v>2791.86</v>
      </c>
      <c r="M720" s="22" t="n">
        <f aca="false">L720-K720</f>
        <v>-551.550000000001</v>
      </c>
    </row>
    <row r="721" customFormat="false" ht="15" hidden="false" customHeight="false" outlineLevel="0" collapsed="false">
      <c r="A721" s="21" t="s">
        <v>890</v>
      </c>
      <c r="B721" s="21" t="s">
        <v>188</v>
      </c>
      <c r="C721" s="21" t="s">
        <v>113</v>
      </c>
      <c r="D721" s="21" t="s">
        <v>76</v>
      </c>
      <c r="E721" s="22" t="n">
        <v>19.31</v>
      </c>
      <c r="F721" s="22" t="n">
        <v>40.04</v>
      </c>
      <c r="G721" s="23" t="n">
        <v>185</v>
      </c>
      <c r="H721" s="23" t="n">
        <v>90</v>
      </c>
      <c r="I721" s="23" t="n">
        <f aca="false">G721-H721</f>
        <v>95</v>
      </c>
      <c r="J721" s="21" t="str">
        <f aca="false">IF(I721&lt;50,"LOW-IN-STOCK","IN-STOCK")</f>
        <v>IN-STOCK</v>
      </c>
      <c r="K721" s="22" t="n">
        <f aca="false">E721*G721</f>
        <v>3572.35</v>
      </c>
      <c r="L721" s="22" t="n">
        <f aca="false">F721*H721</f>
        <v>3603.6</v>
      </c>
      <c r="M721" s="22" t="n">
        <f aca="false">L721-K721</f>
        <v>31.25</v>
      </c>
    </row>
    <row r="722" customFormat="false" ht="15" hidden="false" customHeight="false" outlineLevel="0" collapsed="false">
      <c r="A722" s="21" t="s">
        <v>891</v>
      </c>
      <c r="B722" s="21" t="s">
        <v>90</v>
      </c>
      <c r="C722" s="21" t="s">
        <v>75</v>
      </c>
      <c r="D722" s="21" t="s">
        <v>137</v>
      </c>
      <c r="E722" s="22" t="n">
        <v>7.31</v>
      </c>
      <c r="F722" s="22" t="n">
        <v>12.35</v>
      </c>
      <c r="G722" s="23" t="n">
        <v>32</v>
      </c>
      <c r="H722" s="23" t="n">
        <v>12</v>
      </c>
      <c r="I722" s="23" t="n">
        <f aca="false">G722-H722</f>
        <v>20</v>
      </c>
      <c r="J722" s="21" t="str">
        <f aca="false">IF(I722&lt;50,"LOW-IN-STOCK","IN-STOCK")</f>
        <v>LOW-IN-STOCK</v>
      </c>
      <c r="K722" s="22" t="n">
        <f aca="false">E722*G722</f>
        <v>233.92</v>
      </c>
      <c r="L722" s="22" t="n">
        <f aca="false">F722*H722</f>
        <v>148.2</v>
      </c>
      <c r="M722" s="22" t="n">
        <f aca="false">L722-K722</f>
        <v>-85.72</v>
      </c>
    </row>
    <row r="723" customFormat="false" ht="15" hidden="false" customHeight="false" outlineLevel="0" collapsed="false">
      <c r="A723" s="21" t="s">
        <v>892</v>
      </c>
      <c r="B723" s="21" t="s">
        <v>129</v>
      </c>
      <c r="C723" s="21" t="s">
        <v>83</v>
      </c>
      <c r="D723" s="21" t="s">
        <v>99</v>
      </c>
      <c r="E723" s="22" t="n">
        <v>1.38</v>
      </c>
      <c r="F723" s="22" t="n">
        <v>2.68</v>
      </c>
      <c r="G723" s="23" t="n">
        <v>489</v>
      </c>
      <c r="H723" s="23" t="n">
        <v>463</v>
      </c>
      <c r="I723" s="23" t="n">
        <f aca="false">G723-H723</f>
        <v>26</v>
      </c>
      <c r="J723" s="21" t="str">
        <f aca="false">IF(I723&lt;50,"LOW-IN-STOCK","IN-STOCK")</f>
        <v>LOW-IN-STOCK</v>
      </c>
      <c r="K723" s="22" t="n">
        <f aca="false">E723*G723</f>
        <v>674.82</v>
      </c>
      <c r="L723" s="22" t="n">
        <f aca="false">F723*H723</f>
        <v>1240.84</v>
      </c>
      <c r="M723" s="22" t="n">
        <f aca="false">L723-K723</f>
        <v>566.02</v>
      </c>
    </row>
    <row r="724" customFormat="false" ht="15" hidden="false" customHeight="false" outlineLevel="0" collapsed="false">
      <c r="A724" s="21" t="s">
        <v>893</v>
      </c>
      <c r="B724" s="21" t="s">
        <v>201</v>
      </c>
      <c r="C724" s="21" t="s">
        <v>107</v>
      </c>
      <c r="D724" s="21" t="s">
        <v>102</v>
      </c>
      <c r="E724" s="22" t="n">
        <v>10.67</v>
      </c>
      <c r="F724" s="22" t="n">
        <v>21.89</v>
      </c>
      <c r="G724" s="23" t="n">
        <v>298</v>
      </c>
      <c r="H724" s="23" t="n">
        <v>231</v>
      </c>
      <c r="I724" s="23" t="n">
        <f aca="false">G724-H724</f>
        <v>67</v>
      </c>
      <c r="J724" s="21" t="str">
        <f aca="false">IF(I724&lt;50,"LOW-IN-STOCK","IN-STOCK")</f>
        <v>IN-STOCK</v>
      </c>
      <c r="K724" s="22" t="n">
        <f aca="false">E724*G724</f>
        <v>3179.66</v>
      </c>
      <c r="L724" s="22" t="n">
        <f aca="false">F724*H724</f>
        <v>5056.59</v>
      </c>
      <c r="M724" s="22" t="n">
        <f aca="false">L724-K724</f>
        <v>1876.93</v>
      </c>
    </row>
    <row r="725" customFormat="false" ht="15" hidden="false" customHeight="false" outlineLevel="0" collapsed="false">
      <c r="A725" s="21" t="s">
        <v>894</v>
      </c>
      <c r="B725" s="21" t="s">
        <v>319</v>
      </c>
      <c r="C725" s="21" t="s">
        <v>113</v>
      </c>
      <c r="D725" s="21" t="s">
        <v>76</v>
      </c>
      <c r="E725" s="22" t="n">
        <v>18.22</v>
      </c>
      <c r="F725" s="22" t="n">
        <v>32.07</v>
      </c>
      <c r="G725" s="23" t="n">
        <v>229</v>
      </c>
      <c r="H725" s="23" t="n">
        <v>54</v>
      </c>
      <c r="I725" s="23" t="n">
        <f aca="false">G725-H725</f>
        <v>175</v>
      </c>
      <c r="J725" s="21" t="str">
        <f aca="false">IF(I725&lt;50,"LOW-IN-STOCK","IN-STOCK")</f>
        <v>IN-STOCK</v>
      </c>
      <c r="K725" s="22" t="n">
        <f aca="false">E725*G725</f>
        <v>4172.38</v>
      </c>
      <c r="L725" s="22" t="n">
        <f aca="false">F725*H725</f>
        <v>1731.78</v>
      </c>
      <c r="M725" s="22" t="n">
        <f aca="false">L725-K725</f>
        <v>-2440.6</v>
      </c>
    </row>
    <row r="726" customFormat="false" ht="15" hidden="false" customHeight="false" outlineLevel="0" collapsed="false">
      <c r="A726" s="21" t="s">
        <v>895</v>
      </c>
      <c r="B726" s="21" t="s">
        <v>186</v>
      </c>
      <c r="C726" s="21" t="s">
        <v>83</v>
      </c>
      <c r="D726" s="21" t="s">
        <v>99</v>
      </c>
      <c r="E726" s="22" t="n">
        <v>9.9</v>
      </c>
      <c r="F726" s="22" t="n">
        <v>14.34</v>
      </c>
      <c r="G726" s="23" t="n">
        <v>372</v>
      </c>
      <c r="H726" s="23" t="n">
        <v>74</v>
      </c>
      <c r="I726" s="23" t="n">
        <f aca="false">G726-H726</f>
        <v>298</v>
      </c>
      <c r="J726" s="21" t="str">
        <f aca="false">IF(I726&lt;50,"LOW-IN-STOCK","IN-STOCK")</f>
        <v>IN-STOCK</v>
      </c>
      <c r="K726" s="22" t="n">
        <f aca="false">E726*G726</f>
        <v>3682.8</v>
      </c>
      <c r="L726" s="22" t="n">
        <f aca="false">F726*H726</f>
        <v>1061.16</v>
      </c>
      <c r="M726" s="22" t="n">
        <f aca="false">L726-K726</f>
        <v>-2621.64</v>
      </c>
    </row>
    <row r="727" customFormat="false" ht="15" hidden="false" customHeight="false" outlineLevel="0" collapsed="false">
      <c r="A727" s="21" t="s">
        <v>896</v>
      </c>
      <c r="B727" s="21" t="s">
        <v>134</v>
      </c>
      <c r="C727" s="21" t="s">
        <v>83</v>
      </c>
      <c r="D727" s="21" t="s">
        <v>137</v>
      </c>
      <c r="E727" s="22" t="n">
        <v>9.44</v>
      </c>
      <c r="F727" s="22" t="n">
        <v>15.12</v>
      </c>
      <c r="G727" s="23" t="n">
        <v>325</v>
      </c>
      <c r="H727" s="23" t="n">
        <v>181</v>
      </c>
      <c r="I727" s="23" t="n">
        <f aca="false">G727-H727</f>
        <v>144</v>
      </c>
      <c r="J727" s="21" t="str">
        <f aca="false">IF(I727&lt;50,"LOW-IN-STOCK","IN-STOCK")</f>
        <v>IN-STOCK</v>
      </c>
      <c r="K727" s="22" t="n">
        <f aca="false">E727*G727</f>
        <v>3068</v>
      </c>
      <c r="L727" s="22" t="n">
        <f aca="false">F727*H727</f>
        <v>2736.72</v>
      </c>
      <c r="M727" s="22" t="n">
        <f aca="false">L727-K727</f>
        <v>-331.28</v>
      </c>
    </row>
    <row r="728" customFormat="false" ht="15" hidden="false" customHeight="false" outlineLevel="0" collapsed="false">
      <c r="A728" s="21" t="s">
        <v>897</v>
      </c>
      <c r="B728" s="21" t="s">
        <v>132</v>
      </c>
      <c r="C728" s="21" t="s">
        <v>87</v>
      </c>
      <c r="D728" s="21" t="s">
        <v>80</v>
      </c>
      <c r="E728" s="22" t="n">
        <v>17.19</v>
      </c>
      <c r="F728" s="22" t="n">
        <v>28.61</v>
      </c>
      <c r="G728" s="23" t="n">
        <v>388</v>
      </c>
      <c r="H728" s="23" t="n">
        <v>141</v>
      </c>
      <c r="I728" s="23" t="n">
        <f aca="false">G728-H728</f>
        <v>247</v>
      </c>
      <c r="J728" s="21" t="str">
        <f aca="false">IF(I728&lt;50,"LOW-IN-STOCK","IN-STOCK")</f>
        <v>IN-STOCK</v>
      </c>
      <c r="K728" s="22" t="n">
        <f aca="false">E728*G728</f>
        <v>6669.72</v>
      </c>
      <c r="L728" s="22" t="n">
        <f aca="false">F728*H728</f>
        <v>4034.01</v>
      </c>
      <c r="M728" s="22" t="n">
        <f aca="false">L728-K728</f>
        <v>-2635.71</v>
      </c>
    </row>
    <row r="729" customFormat="false" ht="15" hidden="false" customHeight="false" outlineLevel="0" collapsed="false">
      <c r="A729" s="21" t="s">
        <v>898</v>
      </c>
      <c r="B729" s="21" t="s">
        <v>145</v>
      </c>
      <c r="C729" s="21" t="s">
        <v>87</v>
      </c>
      <c r="D729" s="21" t="s">
        <v>84</v>
      </c>
      <c r="E729" s="22" t="n">
        <v>24.6</v>
      </c>
      <c r="F729" s="22" t="n">
        <v>46.22</v>
      </c>
      <c r="G729" s="23" t="n">
        <v>371</v>
      </c>
      <c r="H729" s="23" t="n">
        <v>116</v>
      </c>
      <c r="I729" s="23" t="n">
        <f aca="false">G729-H729</f>
        <v>255</v>
      </c>
      <c r="J729" s="21" t="str">
        <f aca="false">IF(I729&lt;50,"LOW-IN-STOCK","IN-STOCK")</f>
        <v>IN-STOCK</v>
      </c>
      <c r="K729" s="22" t="n">
        <f aca="false">E729*G729</f>
        <v>9126.6</v>
      </c>
      <c r="L729" s="22" t="n">
        <f aca="false">F729*H729</f>
        <v>5361.52</v>
      </c>
      <c r="M729" s="22" t="n">
        <f aca="false">L729-K729</f>
        <v>-3765.08</v>
      </c>
    </row>
    <row r="730" customFormat="false" ht="15" hidden="false" customHeight="false" outlineLevel="0" collapsed="false">
      <c r="A730" s="21" t="s">
        <v>899</v>
      </c>
      <c r="B730" s="21" t="s">
        <v>86</v>
      </c>
      <c r="C730" s="21" t="s">
        <v>87</v>
      </c>
      <c r="D730" s="21" t="s">
        <v>76</v>
      </c>
      <c r="E730" s="22" t="n">
        <v>3.69</v>
      </c>
      <c r="F730" s="22" t="n">
        <v>6.65</v>
      </c>
      <c r="G730" s="23" t="n">
        <v>367</v>
      </c>
      <c r="H730" s="23" t="n">
        <v>300</v>
      </c>
      <c r="I730" s="23" t="n">
        <f aca="false">G730-H730</f>
        <v>67</v>
      </c>
      <c r="J730" s="21" t="str">
        <f aca="false">IF(I730&lt;50,"LOW-IN-STOCK","IN-STOCK")</f>
        <v>IN-STOCK</v>
      </c>
      <c r="K730" s="22" t="n">
        <f aca="false">E730*G730</f>
        <v>1354.23</v>
      </c>
      <c r="L730" s="22" t="n">
        <f aca="false">F730*H730</f>
        <v>1995</v>
      </c>
      <c r="M730" s="22" t="n">
        <f aca="false">L730-K730</f>
        <v>640.77</v>
      </c>
    </row>
    <row r="731" customFormat="false" ht="15" hidden="false" customHeight="false" outlineLevel="0" collapsed="false">
      <c r="A731" s="21" t="s">
        <v>900</v>
      </c>
      <c r="B731" s="21" t="s">
        <v>216</v>
      </c>
      <c r="C731" s="21" t="s">
        <v>107</v>
      </c>
      <c r="D731" s="21" t="s">
        <v>76</v>
      </c>
      <c r="E731" s="22" t="n">
        <v>14.44</v>
      </c>
      <c r="F731" s="22" t="n">
        <v>26.13</v>
      </c>
      <c r="G731" s="23" t="n">
        <v>103</v>
      </c>
      <c r="H731" s="23" t="n">
        <v>81</v>
      </c>
      <c r="I731" s="23" t="n">
        <f aca="false">G731-H731</f>
        <v>22</v>
      </c>
      <c r="J731" s="21" t="str">
        <f aca="false">IF(I731&lt;50,"LOW-IN-STOCK","IN-STOCK")</f>
        <v>LOW-IN-STOCK</v>
      </c>
      <c r="K731" s="22" t="n">
        <f aca="false">E731*G731</f>
        <v>1487.32</v>
      </c>
      <c r="L731" s="22" t="n">
        <f aca="false">F731*H731</f>
        <v>2116.53</v>
      </c>
      <c r="M731" s="22" t="n">
        <f aca="false">L731-K731</f>
        <v>629.21</v>
      </c>
    </row>
    <row r="732" customFormat="false" ht="15" hidden="false" customHeight="false" outlineLevel="0" collapsed="false">
      <c r="A732" s="21" t="s">
        <v>901</v>
      </c>
      <c r="B732" s="21" t="s">
        <v>122</v>
      </c>
      <c r="C732" s="21" t="s">
        <v>75</v>
      </c>
      <c r="D732" s="21" t="s">
        <v>76</v>
      </c>
      <c r="E732" s="22" t="n">
        <v>22.05</v>
      </c>
      <c r="F732" s="22" t="n">
        <v>47.79</v>
      </c>
      <c r="G732" s="23" t="n">
        <v>248</v>
      </c>
      <c r="H732" s="23" t="n">
        <v>124</v>
      </c>
      <c r="I732" s="23" t="n">
        <f aca="false">G732-H732</f>
        <v>124</v>
      </c>
      <c r="J732" s="21" t="str">
        <f aca="false">IF(I732&lt;50,"LOW-IN-STOCK","IN-STOCK")</f>
        <v>IN-STOCK</v>
      </c>
      <c r="K732" s="22" t="n">
        <f aca="false">E732*G732</f>
        <v>5468.4</v>
      </c>
      <c r="L732" s="22" t="n">
        <f aca="false">F732*H732</f>
        <v>5925.96</v>
      </c>
      <c r="M732" s="22" t="n">
        <f aca="false">L732-K732</f>
        <v>457.56</v>
      </c>
    </row>
    <row r="733" customFormat="false" ht="15" hidden="false" customHeight="false" outlineLevel="0" collapsed="false">
      <c r="A733" s="21" t="s">
        <v>902</v>
      </c>
      <c r="B733" s="21" t="s">
        <v>481</v>
      </c>
      <c r="C733" s="21" t="s">
        <v>93</v>
      </c>
      <c r="D733" s="21" t="s">
        <v>137</v>
      </c>
      <c r="E733" s="22" t="n">
        <v>9.58</v>
      </c>
      <c r="F733" s="22" t="n">
        <v>14.39</v>
      </c>
      <c r="G733" s="23" t="n">
        <v>390</v>
      </c>
      <c r="H733" s="23" t="n">
        <v>343</v>
      </c>
      <c r="I733" s="23" t="n">
        <f aca="false">G733-H733</f>
        <v>47</v>
      </c>
      <c r="J733" s="21" t="str">
        <f aca="false">IF(I733&lt;50,"LOW-IN-STOCK","IN-STOCK")</f>
        <v>LOW-IN-STOCK</v>
      </c>
      <c r="K733" s="22" t="n">
        <f aca="false">E733*G733</f>
        <v>3736.2</v>
      </c>
      <c r="L733" s="22" t="n">
        <f aca="false">F733*H733</f>
        <v>4935.77</v>
      </c>
      <c r="M733" s="22" t="n">
        <f aca="false">L733-K733</f>
        <v>1199.57</v>
      </c>
    </row>
    <row r="734" customFormat="false" ht="15" hidden="false" customHeight="false" outlineLevel="0" collapsed="false">
      <c r="A734" s="21" t="s">
        <v>903</v>
      </c>
      <c r="B734" s="21" t="s">
        <v>201</v>
      </c>
      <c r="C734" s="21" t="s">
        <v>107</v>
      </c>
      <c r="D734" s="21" t="s">
        <v>80</v>
      </c>
      <c r="E734" s="22" t="n">
        <v>12.96</v>
      </c>
      <c r="F734" s="22" t="n">
        <v>23.87</v>
      </c>
      <c r="G734" s="23" t="n">
        <v>398</v>
      </c>
      <c r="H734" s="23" t="n">
        <v>49</v>
      </c>
      <c r="I734" s="23" t="n">
        <f aca="false">G734-H734</f>
        <v>349</v>
      </c>
      <c r="J734" s="21" t="str">
        <f aca="false">IF(I734&lt;50,"LOW-IN-STOCK","IN-STOCK")</f>
        <v>IN-STOCK</v>
      </c>
      <c r="K734" s="22" t="n">
        <f aca="false">E734*G734</f>
        <v>5158.08</v>
      </c>
      <c r="L734" s="22" t="n">
        <f aca="false">F734*H734</f>
        <v>1169.63</v>
      </c>
      <c r="M734" s="22" t="n">
        <f aca="false">L734-K734</f>
        <v>-3988.45</v>
      </c>
    </row>
    <row r="735" customFormat="false" ht="15" hidden="false" customHeight="false" outlineLevel="0" collapsed="false">
      <c r="A735" s="21" t="s">
        <v>904</v>
      </c>
      <c r="B735" s="21" t="s">
        <v>120</v>
      </c>
      <c r="C735" s="21" t="s">
        <v>107</v>
      </c>
      <c r="D735" s="21" t="s">
        <v>84</v>
      </c>
      <c r="E735" s="22" t="n">
        <v>5.99</v>
      </c>
      <c r="F735" s="22" t="n">
        <v>8.01</v>
      </c>
      <c r="G735" s="23" t="n">
        <v>384</v>
      </c>
      <c r="H735" s="23" t="n">
        <v>121</v>
      </c>
      <c r="I735" s="23" t="n">
        <f aca="false">G735-H735</f>
        <v>263</v>
      </c>
      <c r="J735" s="21" t="str">
        <f aca="false">IF(I735&lt;50,"LOW-IN-STOCK","IN-STOCK")</f>
        <v>IN-STOCK</v>
      </c>
      <c r="K735" s="22" t="n">
        <f aca="false">E735*G735</f>
        <v>2300.16</v>
      </c>
      <c r="L735" s="22" t="n">
        <f aca="false">F735*H735</f>
        <v>969.21</v>
      </c>
      <c r="M735" s="22" t="n">
        <f aca="false">L735-K735</f>
        <v>-1330.95</v>
      </c>
    </row>
    <row r="736" customFormat="false" ht="15" hidden="false" customHeight="false" outlineLevel="0" collapsed="false">
      <c r="A736" s="21" t="s">
        <v>905</v>
      </c>
      <c r="B736" s="21" t="s">
        <v>152</v>
      </c>
      <c r="C736" s="21" t="s">
        <v>87</v>
      </c>
      <c r="D736" s="21" t="s">
        <v>84</v>
      </c>
      <c r="E736" s="22" t="n">
        <v>13.53</v>
      </c>
      <c r="F736" s="22" t="n">
        <v>22.63</v>
      </c>
      <c r="G736" s="23" t="n">
        <v>202</v>
      </c>
      <c r="H736" s="23" t="n">
        <v>63</v>
      </c>
      <c r="I736" s="23" t="n">
        <f aca="false">G736-H736</f>
        <v>139</v>
      </c>
      <c r="J736" s="21" t="str">
        <f aca="false">IF(I736&lt;50,"LOW-IN-STOCK","IN-STOCK")</f>
        <v>IN-STOCK</v>
      </c>
      <c r="K736" s="22" t="n">
        <f aca="false">E736*G736</f>
        <v>2733.06</v>
      </c>
      <c r="L736" s="22" t="n">
        <f aca="false">F736*H736</f>
        <v>1425.69</v>
      </c>
      <c r="M736" s="22" t="n">
        <f aca="false">L736-K736</f>
        <v>-1307.37</v>
      </c>
    </row>
    <row r="737" customFormat="false" ht="15" hidden="false" customHeight="false" outlineLevel="0" collapsed="false">
      <c r="A737" s="21" t="s">
        <v>906</v>
      </c>
      <c r="B737" s="21" t="s">
        <v>359</v>
      </c>
      <c r="C737" s="21" t="s">
        <v>75</v>
      </c>
      <c r="D737" s="21" t="s">
        <v>80</v>
      </c>
      <c r="E737" s="22" t="n">
        <v>21.76</v>
      </c>
      <c r="F737" s="22" t="n">
        <v>29.34</v>
      </c>
      <c r="G737" s="23" t="n">
        <v>431</v>
      </c>
      <c r="H737" s="23" t="n">
        <v>158</v>
      </c>
      <c r="I737" s="23" t="n">
        <f aca="false">G737-H737</f>
        <v>273</v>
      </c>
      <c r="J737" s="21" t="str">
        <f aca="false">IF(I737&lt;50,"LOW-IN-STOCK","IN-STOCK")</f>
        <v>IN-STOCK</v>
      </c>
      <c r="K737" s="22" t="n">
        <f aca="false">E737*G737</f>
        <v>9378.56</v>
      </c>
      <c r="L737" s="22" t="n">
        <f aca="false">F737*H737</f>
        <v>4635.72</v>
      </c>
      <c r="M737" s="22" t="n">
        <f aca="false">L737-K737</f>
        <v>-4742.84</v>
      </c>
    </row>
    <row r="738" customFormat="false" ht="15" hidden="false" customHeight="false" outlineLevel="0" collapsed="false">
      <c r="A738" s="21" t="s">
        <v>907</v>
      </c>
      <c r="B738" s="21" t="s">
        <v>466</v>
      </c>
      <c r="C738" s="21" t="s">
        <v>79</v>
      </c>
      <c r="D738" s="21" t="s">
        <v>99</v>
      </c>
      <c r="E738" s="22" t="n">
        <v>18.68</v>
      </c>
      <c r="F738" s="22" t="n">
        <v>34.57</v>
      </c>
      <c r="G738" s="23" t="n">
        <v>494</v>
      </c>
      <c r="H738" s="23" t="n">
        <v>304</v>
      </c>
      <c r="I738" s="23" t="n">
        <f aca="false">G738-H738</f>
        <v>190</v>
      </c>
      <c r="J738" s="21" t="str">
        <f aca="false">IF(I738&lt;50,"LOW-IN-STOCK","IN-STOCK")</f>
        <v>IN-STOCK</v>
      </c>
      <c r="K738" s="22" t="n">
        <f aca="false">E738*G738</f>
        <v>9227.92</v>
      </c>
      <c r="L738" s="22" t="n">
        <f aca="false">F738*H738</f>
        <v>10509.28</v>
      </c>
      <c r="M738" s="22" t="n">
        <f aca="false">L738-K738</f>
        <v>1281.36</v>
      </c>
    </row>
    <row r="739" customFormat="false" ht="15" hidden="false" customHeight="false" outlineLevel="0" collapsed="false">
      <c r="A739" s="21" t="s">
        <v>908</v>
      </c>
      <c r="B739" s="21" t="s">
        <v>126</v>
      </c>
      <c r="C739" s="21" t="s">
        <v>79</v>
      </c>
      <c r="D739" s="21" t="s">
        <v>84</v>
      </c>
      <c r="E739" s="22" t="n">
        <v>6.31</v>
      </c>
      <c r="F739" s="22" t="n">
        <v>9.47</v>
      </c>
      <c r="G739" s="23" t="n">
        <v>179</v>
      </c>
      <c r="H739" s="23" t="n">
        <v>52</v>
      </c>
      <c r="I739" s="23" t="n">
        <f aca="false">G739-H739</f>
        <v>127</v>
      </c>
      <c r="J739" s="21" t="str">
        <f aca="false">IF(I739&lt;50,"LOW-IN-STOCK","IN-STOCK")</f>
        <v>IN-STOCK</v>
      </c>
      <c r="K739" s="22" t="n">
        <f aca="false">E739*G739</f>
        <v>1129.49</v>
      </c>
      <c r="L739" s="22" t="n">
        <f aca="false">F739*H739</f>
        <v>492.44</v>
      </c>
      <c r="M739" s="22" t="n">
        <f aca="false">L739-K739</f>
        <v>-637.05</v>
      </c>
    </row>
    <row r="740" customFormat="false" ht="15" hidden="false" customHeight="false" outlineLevel="0" collapsed="false">
      <c r="A740" s="21" t="s">
        <v>909</v>
      </c>
      <c r="B740" s="21" t="s">
        <v>201</v>
      </c>
      <c r="C740" s="21" t="s">
        <v>107</v>
      </c>
      <c r="D740" s="21" t="s">
        <v>76</v>
      </c>
      <c r="E740" s="22" t="n">
        <v>4.68</v>
      </c>
      <c r="F740" s="22" t="n">
        <v>10.25</v>
      </c>
      <c r="G740" s="23" t="n">
        <v>223</v>
      </c>
      <c r="H740" s="23" t="n">
        <v>37</v>
      </c>
      <c r="I740" s="23" t="n">
        <f aca="false">G740-H740</f>
        <v>186</v>
      </c>
      <c r="J740" s="21" t="str">
        <f aca="false">IF(I740&lt;50,"LOW-IN-STOCK","IN-STOCK")</f>
        <v>IN-STOCK</v>
      </c>
      <c r="K740" s="22" t="n">
        <f aca="false">E740*G740</f>
        <v>1043.64</v>
      </c>
      <c r="L740" s="22" t="n">
        <f aca="false">F740*H740</f>
        <v>379.25</v>
      </c>
      <c r="M740" s="22" t="n">
        <f aca="false">L740-K740</f>
        <v>-664.39</v>
      </c>
    </row>
    <row r="741" customFormat="false" ht="15" hidden="false" customHeight="false" outlineLevel="0" collapsed="false">
      <c r="A741" s="21" t="s">
        <v>910</v>
      </c>
      <c r="B741" s="21" t="s">
        <v>184</v>
      </c>
      <c r="C741" s="21" t="s">
        <v>148</v>
      </c>
      <c r="D741" s="21" t="s">
        <v>88</v>
      </c>
      <c r="E741" s="22" t="n">
        <v>61.08</v>
      </c>
      <c r="F741" s="22" t="n">
        <v>120.91</v>
      </c>
      <c r="G741" s="23" t="n">
        <v>49</v>
      </c>
      <c r="H741" s="23" t="n">
        <v>27</v>
      </c>
      <c r="I741" s="23" t="n">
        <f aca="false">G741-H741</f>
        <v>22</v>
      </c>
      <c r="J741" s="21" t="str">
        <f aca="false">IF(I741&lt;50,"LOW-IN-STOCK","IN-STOCK")</f>
        <v>LOW-IN-STOCK</v>
      </c>
      <c r="K741" s="22" t="n">
        <f aca="false">E741*G741</f>
        <v>2992.92</v>
      </c>
      <c r="L741" s="22" t="n">
        <f aca="false">F741*H741</f>
        <v>3264.57</v>
      </c>
      <c r="M741" s="22" t="n">
        <f aca="false">L741-K741</f>
        <v>271.65</v>
      </c>
    </row>
    <row r="742" customFormat="false" ht="15" hidden="false" customHeight="false" outlineLevel="0" collapsed="false">
      <c r="A742" s="21" t="s">
        <v>911</v>
      </c>
      <c r="B742" s="21" t="s">
        <v>308</v>
      </c>
      <c r="C742" s="21" t="s">
        <v>87</v>
      </c>
      <c r="D742" s="21" t="s">
        <v>137</v>
      </c>
      <c r="E742" s="22" t="n">
        <v>5</v>
      </c>
      <c r="F742" s="22" t="n">
        <v>7.55</v>
      </c>
      <c r="G742" s="23" t="n">
        <v>329</v>
      </c>
      <c r="H742" s="23" t="n">
        <v>310</v>
      </c>
      <c r="I742" s="23" t="n">
        <f aca="false">G742-H742</f>
        <v>19</v>
      </c>
      <c r="J742" s="21" t="str">
        <f aca="false">IF(I742&lt;50,"LOW-IN-STOCK","IN-STOCK")</f>
        <v>LOW-IN-STOCK</v>
      </c>
      <c r="K742" s="22" t="n">
        <f aca="false">E742*G742</f>
        <v>1645</v>
      </c>
      <c r="L742" s="22" t="n">
        <f aca="false">F742*H742</f>
        <v>2340.5</v>
      </c>
      <c r="M742" s="22" t="n">
        <f aca="false">L742-K742</f>
        <v>695.5</v>
      </c>
    </row>
    <row r="743" customFormat="false" ht="15" hidden="false" customHeight="false" outlineLevel="0" collapsed="false">
      <c r="A743" s="21" t="s">
        <v>912</v>
      </c>
      <c r="B743" s="21" t="s">
        <v>332</v>
      </c>
      <c r="C743" s="21" t="s">
        <v>107</v>
      </c>
      <c r="D743" s="21" t="s">
        <v>160</v>
      </c>
      <c r="E743" s="22" t="n">
        <v>7.44</v>
      </c>
      <c r="F743" s="22" t="n">
        <v>12.36</v>
      </c>
      <c r="G743" s="23" t="n">
        <v>305</v>
      </c>
      <c r="H743" s="23" t="n">
        <v>48</v>
      </c>
      <c r="I743" s="23" t="n">
        <f aca="false">G743-H743</f>
        <v>257</v>
      </c>
      <c r="J743" s="21" t="str">
        <f aca="false">IF(I743&lt;50,"LOW-IN-STOCK","IN-STOCK")</f>
        <v>IN-STOCK</v>
      </c>
      <c r="K743" s="22" t="n">
        <f aca="false">E743*G743</f>
        <v>2269.2</v>
      </c>
      <c r="L743" s="22" t="n">
        <f aca="false">F743*H743</f>
        <v>593.28</v>
      </c>
      <c r="M743" s="22" t="n">
        <f aca="false">L743-K743</f>
        <v>-1675.92</v>
      </c>
    </row>
    <row r="744" customFormat="false" ht="15" hidden="false" customHeight="false" outlineLevel="0" collapsed="false">
      <c r="A744" s="21" t="s">
        <v>913</v>
      </c>
      <c r="B744" s="21" t="s">
        <v>136</v>
      </c>
      <c r="C744" s="21" t="s">
        <v>87</v>
      </c>
      <c r="D744" s="21" t="s">
        <v>99</v>
      </c>
      <c r="E744" s="22" t="n">
        <v>24.78</v>
      </c>
      <c r="F744" s="22" t="n">
        <v>37.65</v>
      </c>
      <c r="G744" s="23" t="n">
        <v>409</v>
      </c>
      <c r="H744" s="23" t="n">
        <v>330</v>
      </c>
      <c r="I744" s="23" t="n">
        <f aca="false">G744-H744</f>
        <v>79</v>
      </c>
      <c r="J744" s="21" t="str">
        <f aca="false">IF(I744&lt;50,"LOW-IN-STOCK","IN-STOCK")</f>
        <v>IN-STOCK</v>
      </c>
      <c r="K744" s="22" t="n">
        <f aca="false">E744*G744</f>
        <v>10135.02</v>
      </c>
      <c r="L744" s="22" t="n">
        <f aca="false">F744*H744</f>
        <v>12424.5</v>
      </c>
      <c r="M744" s="22" t="n">
        <f aca="false">L744-K744</f>
        <v>2289.48</v>
      </c>
    </row>
    <row r="745" customFormat="false" ht="15" hidden="false" customHeight="false" outlineLevel="0" collapsed="false">
      <c r="A745" s="21" t="s">
        <v>914</v>
      </c>
      <c r="B745" s="21" t="s">
        <v>195</v>
      </c>
      <c r="C745" s="21" t="s">
        <v>79</v>
      </c>
      <c r="D745" s="21" t="s">
        <v>88</v>
      </c>
      <c r="E745" s="22" t="n">
        <v>2.18</v>
      </c>
      <c r="F745" s="22" t="n">
        <v>4.37</v>
      </c>
      <c r="G745" s="23" t="n">
        <v>125</v>
      </c>
      <c r="H745" s="23" t="n">
        <v>83</v>
      </c>
      <c r="I745" s="23" t="n">
        <f aca="false">G745-H745</f>
        <v>42</v>
      </c>
      <c r="J745" s="21" t="str">
        <f aca="false">IF(I745&lt;50,"LOW-IN-STOCK","IN-STOCK")</f>
        <v>LOW-IN-STOCK</v>
      </c>
      <c r="K745" s="22" t="n">
        <f aca="false">E745*G745</f>
        <v>272.5</v>
      </c>
      <c r="L745" s="22" t="n">
        <f aca="false">F745*H745</f>
        <v>362.71</v>
      </c>
      <c r="M745" s="22" t="n">
        <f aca="false">L745-K745</f>
        <v>90.21</v>
      </c>
    </row>
    <row r="746" customFormat="false" ht="15" hidden="false" customHeight="false" outlineLevel="0" collapsed="false">
      <c r="A746" s="21" t="s">
        <v>915</v>
      </c>
      <c r="B746" s="21" t="s">
        <v>110</v>
      </c>
      <c r="C746" s="21" t="s">
        <v>93</v>
      </c>
      <c r="D746" s="21" t="s">
        <v>160</v>
      </c>
      <c r="E746" s="22" t="n">
        <v>11.36</v>
      </c>
      <c r="F746" s="22" t="n">
        <v>19.26</v>
      </c>
      <c r="G746" s="23" t="n">
        <v>188</v>
      </c>
      <c r="H746" s="23" t="n">
        <v>25</v>
      </c>
      <c r="I746" s="23" t="n">
        <f aca="false">G746-H746</f>
        <v>163</v>
      </c>
      <c r="J746" s="21" t="str">
        <f aca="false">IF(I746&lt;50,"LOW-IN-STOCK","IN-STOCK")</f>
        <v>IN-STOCK</v>
      </c>
      <c r="K746" s="22" t="n">
        <f aca="false">E746*G746</f>
        <v>2135.68</v>
      </c>
      <c r="L746" s="22" t="n">
        <f aca="false">F746*H746</f>
        <v>481.5</v>
      </c>
      <c r="M746" s="22" t="n">
        <f aca="false">L746-K746</f>
        <v>-1654.18</v>
      </c>
    </row>
    <row r="747" customFormat="false" ht="15" hidden="false" customHeight="false" outlineLevel="0" collapsed="false">
      <c r="A747" s="21" t="s">
        <v>916</v>
      </c>
      <c r="B747" s="21" t="s">
        <v>152</v>
      </c>
      <c r="C747" s="21" t="s">
        <v>87</v>
      </c>
      <c r="D747" s="21" t="s">
        <v>108</v>
      </c>
      <c r="E747" s="22" t="n">
        <v>23.46</v>
      </c>
      <c r="F747" s="22" t="n">
        <v>45.14</v>
      </c>
      <c r="G747" s="23" t="n">
        <v>28</v>
      </c>
      <c r="H747" s="23" t="n">
        <v>4</v>
      </c>
      <c r="I747" s="23" t="n">
        <f aca="false">G747-H747</f>
        <v>24</v>
      </c>
      <c r="J747" s="21" t="str">
        <f aca="false">IF(I747&lt;50,"LOW-IN-STOCK","IN-STOCK")</f>
        <v>LOW-IN-STOCK</v>
      </c>
      <c r="K747" s="22" t="n">
        <f aca="false">E747*G747</f>
        <v>656.88</v>
      </c>
      <c r="L747" s="22" t="n">
        <f aca="false">F747*H747</f>
        <v>180.56</v>
      </c>
      <c r="M747" s="22" t="n">
        <f aca="false">L747-K747</f>
        <v>-476.32</v>
      </c>
    </row>
    <row r="748" customFormat="false" ht="15" hidden="false" customHeight="false" outlineLevel="0" collapsed="false">
      <c r="A748" s="21" t="s">
        <v>917</v>
      </c>
      <c r="B748" s="21" t="s">
        <v>124</v>
      </c>
      <c r="C748" s="21" t="s">
        <v>79</v>
      </c>
      <c r="D748" s="21" t="s">
        <v>76</v>
      </c>
      <c r="E748" s="22" t="n">
        <v>4.06</v>
      </c>
      <c r="F748" s="22" t="n">
        <v>5.53</v>
      </c>
      <c r="G748" s="23" t="n">
        <v>28</v>
      </c>
      <c r="H748" s="23" t="n">
        <v>22</v>
      </c>
      <c r="I748" s="23" t="n">
        <f aca="false">G748-H748</f>
        <v>6</v>
      </c>
      <c r="J748" s="21" t="str">
        <f aca="false">IF(I748&lt;50,"LOW-IN-STOCK","IN-STOCK")</f>
        <v>LOW-IN-STOCK</v>
      </c>
      <c r="K748" s="22" t="n">
        <f aca="false">E748*G748</f>
        <v>113.68</v>
      </c>
      <c r="L748" s="22" t="n">
        <f aca="false">F748*H748</f>
        <v>121.66</v>
      </c>
      <c r="M748" s="22" t="n">
        <f aca="false">L748-K748</f>
        <v>7.98000000000002</v>
      </c>
    </row>
    <row r="749" customFormat="false" ht="15" hidden="false" customHeight="false" outlineLevel="0" collapsed="false">
      <c r="A749" s="21" t="s">
        <v>918</v>
      </c>
      <c r="B749" s="21" t="s">
        <v>124</v>
      </c>
      <c r="C749" s="21" t="s">
        <v>79</v>
      </c>
      <c r="D749" s="21" t="s">
        <v>99</v>
      </c>
      <c r="E749" s="22" t="n">
        <v>18.2</v>
      </c>
      <c r="F749" s="22" t="n">
        <v>30.52</v>
      </c>
      <c r="G749" s="23" t="n">
        <v>467</v>
      </c>
      <c r="H749" s="23" t="n">
        <v>318</v>
      </c>
      <c r="I749" s="23" t="n">
        <f aca="false">G749-H749</f>
        <v>149</v>
      </c>
      <c r="J749" s="21" t="str">
        <f aca="false">IF(I749&lt;50,"LOW-IN-STOCK","IN-STOCK")</f>
        <v>IN-STOCK</v>
      </c>
      <c r="K749" s="22" t="n">
        <f aca="false">E749*G749</f>
        <v>8499.4</v>
      </c>
      <c r="L749" s="22" t="n">
        <f aca="false">F749*H749</f>
        <v>9705.36</v>
      </c>
      <c r="M749" s="22" t="n">
        <f aca="false">L749-K749</f>
        <v>1205.96</v>
      </c>
    </row>
    <row r="750" customFormat="false" ht="15" hidden="false" customHeight="false" outlineLevel="0" collapsed="false">
      <c r="A750" s="21" t="s">
        <v>919</v>
      </c>
      <c r="B750" s="21" t="s">
        <v>466</v>
      </c>
      <c r="C750" s="21" t="s">
        <v>79</v>
      </c>
      <c r="D750" s="21" t="s">
        <v>76</v>
      </c>
      <c r="E750" s="22" t="n">
        <v>10.3</v>
      </c>
      <c r="F750" s="22" t="n">
        <v>18.32</v>
      </c>
      <c r="G750" s="23" t="n">
        <v>481</v>
      </c>
      <c r="H750" s="23" t="n">
        <v>72</v>
      </c>
      <c r="I750" s="23" t="n">
        <f aca="false">G750-H750</f>
        <v>409</v>
      </c>
      <c r="J750" s="21" t="str">
        <f aca="false">IF(I750&lt;50,"LOW-IN-STOCK","IN-STOCK")</f>
        <v>IN-STOCK</v>
      </c>
      <c r="K750" s="22" t="n">
        <f aca="false">E750*G750</f>
        <v>4954.3</v>
      </c>
      <c r="L750" s="22" t="n">
        <f aca="false">F750*H750</f>
        <v>1319.04</v>
      </c>
      <c r="M750" s="22" t="n">
        <f aca="false">L750-K750</f>
        <v>-3635.26</v>
      </c>
    </row>
    <row r="751" customFormat="false" ht="15" hidden="false" customHeight="false" outlineLevel="0" collapsed="false">
      <c r="A751" s="21" t="s">
        <v>920</v>
      </c>
      <c r="B751" s="21" t="s">
        <v>164</v>
      </c>
      <c r="C751" s="21" t="s">
        <v>93</v>
      </c>
      <c r="D751" s="21" t="s">
        <v>102</v>
      </c>
      <c r="E751" s="22" t="n">
        <v>9.12</v>
      </c>
      <c r="F751" s="22" t="n">
        <v>12.23</v>
      </c>
      <c r="G751" s="23" t="n">
        <v>419</v>
      </c>
      <c r="H751" s="23" t="n">
        <v>199</v>
      </c>
      <c r="I751" s="23" t="n">
        <f aca="false">G751-H751</f>
        <v>220</v>
      </c>
      <c r="J751" s="21" t="str">
        <f aca="false">IF(I751&lt;50,"LOW-IN-STOCK","IN-STOCK")</f>
        <v>IN-STOCK</v>
      </c>
      <c r="K751" s="22" t="n">
        <f aca="false">E751*G751</f>
        <v>3821.28</v>
      </c>
      <c r="L751" s="22" t="n">
        <f aca="false">F751*H751</f>
        <v>2433.77</v>
      </c>
      <c r="M751" s="22" t="n">
        <f aca="false">L751-K751</f>
        <v>-1387.51</v>
      </c>
    </row>
    <row r="752" customFormat="false" ht="15" hidden="false" customHeight="false" outlineLevel="0" collapsed="false">
      <c r="A752" s="21" t="s">
        <v>921</v>
      </c>
      <c r="B752" s="21" t="s">
        <v>216</v>
      </c>
      <c r="C752" s="21" t="s">
        <v>107</v>
      </c>
      <c r="D752" s="21" t="s">
        <v>84</v>
      </c>
      <c r="E752" s="22" t="n">
        <v>14.93</v>
      </c>
      <c r="F752" s="22" t="n">
        <v>28.54</v>
      </c>
      <c r="G752" s="23" t="n">
        <v>394</v>
      </c>
      <c r="H752" s="23" t="n">
        <v>342</v>
      </c>
      <c r="I752" s="23" t="n">
        <f aca="false">G752-H752</f>
        <v>52</v>
      </c>
      <c r="J752" s="21" t="str">
        <f aca="false">IF(I752&lt;50,"LOW-IN-STOCK","IN-STOCK")</f>
        <v>IN-STOCK</v>
      </c>
      <c r="K752" s="22" t="n">
        <f aca="false">E752*G752</f>
        <v>5882.42</v>
      </c>
      <c r="L752" s="22" t="n">
        <f aca="false">F752*H752</f>
        <v>9760.68</v>
      </c>
      <c r="M752" s="22" t="n">
        <f aca="false">L752-K752</f>
        <v>3878.26</v>
      </c>
    </row>
    <row r="753" customFormat="false" ht="15" hidden="false" customHeight="false" outlineLevel="0" collapsed="false">
      <c r="A753" s="21" t="s">
        <v>922</v>
      </c>
      <c r="B753" s="21" t="s">
        <v>116</v>
      </c>
      <c r="C753" s="21" t="s">
        <v>83</v>
      </c>
      <c r="D753" s="21" t="s">
        <v>76</v>
      </c>
      <c r="E753" s="22" t="n">
        <v>17.83</v>
      </c>
      <c r="F753" s="22" t="n">
        <v>35.59</v>
      </c>
      <c r="G753" s="23" t="n">
        <v>293</v>
      </c>
      <c r="H753" s="23" t="n">
        <v>169</v>
      </c>
      <c r="I753" s="23" t="n">
        <f aca="false">G753-H753</f>
        <v>124</v>
      </c>
      <c r="J753" s="21" t="str">
        <f aca="false">IF(I753&lt;50,"LOW-IN-STOCK","IN-STOCK")</f>
        <v>IN-STOCK</v>
      </c>
      <c r="K753" s="22" t="n">
        <f aca="false">E753*G753</f>
        <v>5224.19</v>
      </c>
      <c r="L753" s="22" t="n">
        <f aca="false">F753*H753</f>
        <v>6014.71</v>
      </c>
      <c r="M753" s="22" t="n">
        <f aca="false">L753-K753</f>
        <v>790.520000000001</v>
      </c>
    </row>
    <row r="754" customFormat="false" ht="15" hidden="false" customHeight="false" outlineLevel="0" collapsed="false">
      <c r="A754" s="21" t="s">
        <v>923</v>
      </c>
      <c r="B754" s="21" t="s">
        <v>276</v>
      </c>
      <c r="C754" s="21" t="s">
        <v>83</v>
      </c>
      <c r="D754" s="21" t="s">
        <v>160</v>
      </c>
      <c r="E754" s="22" t="n">
        <v>13.91</v>
      </c>
      <c r="F754" s="22" t="n">
        <v>19.83</v>
      </c>
      <c r="G754" s="23" t="n">
        <v>306</v>
      </c>
      <c r="H754" s="23" t="n">
        <v>242</v>
      </c>
      <c r="I754" s="23" t="n">
        <f aca="false">G754-H754</f>
        <v>64</v>
      </c>
      <c r="J754" s="21" t="str">
        <f aca="false">IF(I754&lt;50,"LOW-IN-STOCK","IN-STOCK")</f>
        <v>IN-STOCK</v>
      </c>
      <c r="K754" s="22" t="n">
        <f aca="false">E754*G754</f>
        <v>4256.46</v>
      </c>
      <c r="L754" s="22" t="n">
        <f aca="false">F754*H754</f>
        <v>4798.86</v>
      </c>
      <c r="M754" s="22" t="n">
        <f aca="false">L754-K754</f>
        <v>542.4</v>
      </c>
    </row>
    <row r="755" customFormat="false" ht="15" hidden="false" customHeight="false" outlineLevel="0" collapsed="false">
      <c r="A755" s="21" t="s">
        <v>924</v>
      </c>
      <c r="B755" s="21" t="s">
        <v>235</v>
      </c>
      <c r="C755" s="21" t="s">
        <v>148</v>
      </c>
      <c r="D755" s="21" t="s">
        <v>114</v>
      </c>
      <c r="E755" s="22" t="n">
        <v>13.25</v>
      </c>
      <c r="F755" s="22" t="n">
        <v>19.98</v>
      </c>
      <c r="G755" s="23" t="n">
        <v>40</v>
      </c>
      <c r="H755" s="23" t="n">
        <v>17</v>
      </c>
      <c r="I755" s="23" t="n">
        <f aca="false">G755-H755</f>
        <v>23</v>
      </c>
      <c r="J755" s="21" t="str">
        <f aca="false">IF(I755&lt;50,"LOW-IN-STOCK","IN-STOCK")</f>
        <v>LOW-IN-STOCK</v>
      </c>
      <c r="K755" s="22" t="n">
        <f aca="false">E755*G755</f>
        <v>530</v>
      </c>
      <c r="L755" s="22" t="n">
        <f aca="false">F755*H755</f>
        <v>339.66</v>
      </c>
      <c r="M755" s="22" t="n">
        <f aca="false">L755-K755</f>
        <v>-190.34</v>
      </c>
    </row>
    <row r="756" customFormat="false" ht="15" hidden="false" customHeight="false" outlineLevel="0" collapsed="false">
      <c r="A756" s="21" t="s">
        <v>925</v>
      </c>
      <c r="B756" s="21" t="s">
        <v>129</v>
      </c>
      <c r="C756" s="21" t="s">
        <v>83</v>
      </c>
      <c r="D756" s="21" t="s">
        <v>102</v>
      </c>
      <c r="E756" s="22" t="n">
        <v>8.87</v>
      </c>
      <c r="F756" s="22" t="n">
        <v>16.47</v>
      </c>
      <c r="G756" s="23" t="n">
        <v>69</v>
      </c>
      <c r="H756" s="23" t="n">
        <v>21</v>
      </c>
      <c r="I756" s="23" t="n">
        <f aca="false">G756-H756</f>
        <v>48</v>
      </c>
      <c r="J756" s="21" t="str">
        <f aca="false">IF(I756&lt;50,"LOW-IN-STOCK","IN-STOCK")</f>
        <v>LOW-IN-STOCK</v>
      </c>
      <c r="K756" s="22" t="n">
        <f aca="false">E756*G756</f>
        <v>612.03</v>
      </c>
      <c r="L756" s="22" t="n">
        <f aca="false">F756*H756</f>
        <v>345.87</v>
      </c>
      <c r="M756" s="22" t="n">
        <f aca="false">L756-K756</f>
        <v>-266.16</v>
      </c>
    </row>
    <row r="757" customFormat="false" ht="15" hidden="false" customHeight="false" outlineLevel="0" collapsed="false">
      <c r="A757" s="21" t="s">
        <v>926</v>
      </c>
      <c r="B757" s="21" t="s">
        <v>92</v>
      </c>
      <c r="C757" s="21" t="s">
        <v>93</v>
      </c>
      <c r="D757" s="21" t="s">
        <v>160</v>
      </c>
      <c r="E757" s="22" t="n">
        <v>1.08</v>
      </c>
      <c r="F757" s="22" t="n">
        <v>2.17</v>
      </c>
      <c r="G757" s="23" t="n">
        <v>146</v>
      </c>
      <c r="H757" s="23" t="n">
        <v>41</v>
      </c>
      <c r="I757" s="23" t="n">
        <f aca="false">G757-H757</f>
        <v>105</v>
      </c>
      <c r="J757" s="21" t="str">
        <f aca="false">IF(I757&lt;50,"LOW-IN-STOCK","IN-STOCK")</f>
        <v>IN-STOCK</v>
      </c>
      <c r="K757" s="22" t="n">
        <f aca="false">E757*G757</f>
        <v>157.68</v>
      </c>
      <c r="L757" s="22" t="n">
        <f aca="false">F757*H757</f>
        <v>88.97</v>
      </c>
      <c r="M757" s="22" t="n">
        <f aca="false">L757-K757</f>
        <v>-68.71</v>
      </c>
    </row>
    <row r="758" customFormat="false" ht="15" hidden="false" customHeight="false" outlineLevel="0" collapsed="false">
      <c r="A758" s="21" t="s">
        <v>927</v>
      </c>
      <c r="B758" s="21" t="s">
        <v>152</v>
      </c>
      <c r="C758" s="21" t="s">
        <v>87</v>
      </c>
      <c r="D758" s="21" t="s">
        <v>137</v>
      </c>
      <c r="E758" s="22" t="n">
        <v>13.33</v>
      </c>
      <c r="F758" s="22" t="n">
        <v>19.98</v>
      </c>
      <c r="G758" s="23" t="n">
        <v>328</v>
      </c>
      <c r="H758" s="23" t="n">
        <v>177</v>
      </c>
      <c r="I758" s="23" t="n">
        <f aca="false">G758-H758</f>
        <v>151</v>
      </c>
      <c r="J758" s="21" t="str">
        <f aca="false">IF(I758&lt;50,"LOW-IN-STOCK","IN-STOCK")</f>
        <v>IN-STOCK</v>
      </c>
      <c r="K758" s="22" t="n">
        <f aca="false">E758*G758</f>
        <v>4372.24</v>
      </c>
      <c r="L758" s="22" t="n">
        <f aca="false">F758*H758</f>
        <v>3536.46</v>
      </c>
      <c r="M758" s="22" t="n">
        <f aca="false">L758-K758</f>
        <v>-835.78</v>
      </c>
    </row>
    <row r="759" customFormat="false" ht="15" hidden="false" customHeight="false" outlineLevel="0" collapsed="false">
      <c r="A759" s="21" t="s">
        <v>928</v>
      </c>
      <c r="B759" s="21" t="s">
        <v>481</v>
      </c>
      <c r="C759" s="21" t="s">
        <v>93</v>
      </c>
      <c r="D759" s="21" t="s">
        <v>80</v>
      </c>
      <c r="E759" s="22" t="n">
        <v>6.44</v>
      </c>
      <c r="F759" s="22" t="n">
        <v>13.31</v>
      </c>
      <c r="G759" s="23" t="n">
        <v>218</v>
      </c>
      <c r="H759" s="23" t="n">
        <v>34</v>
      </c>
      <c r="I759" s="23" t="n">
        <f aca="false">G759-H759</f>
        <v>184</v>
      </c>
      <c r="J759" s="21" t="str">
        <f aca="false">IF(I759&lt;50,"LOW-IN-STOCK","IN-STOCK")</f>
        <v>IN-STOCK</v>
      </c>
      <c r="K759" s="22" t="n">
        <f aca="false">E759*G759</f>
        <v>1403.92</v>
      </c>
      <c r="L759" s="22" t="n">
        <f aca="false">F759*H759</f>
        <v>452.54</v>
      </c>
      <c r="M759" s="22" t="n">
        <f aca="false">L759-K759</f>
        <v>-951.38</v>
      </c>
    </row>
    <row r="760" customFormat="false" ht="15" hidden="false" customHeight="false" outlineLevel="0" collapsed="false">
      <c r="A760" s="21" t="s">
        <v>929</v>
      </c>
      <c r="B760" s="21" t="s">
        <v>112</v>
      </c>
      <c r="C760" s="21" t="s">
        <v>113</v>
      </c>
      <c r="D760" s="21" t="s">
        <v>76</v>
      </c>
      <c r="E760" s="22" t="n">
        <v>23.68</v>
      </c>
      <c r="F760" s="22" t="n">
        <v>46.94</v>
      </c>
      <c r="G760" s="23" t="n">
        <v>143</v>
      </c>
      <c r="H760" s="23" t="n">
        <v>84</v>
      </c>
      <c r="I760" s="23" t="n">
        <f aca="false">G760-H760</f>
        <v>59</v>
      </c>
      <c r="J760" s="21" t="str">
        <f aca="false">IF(I760&lt;50,"LOW-IN-STOCK","IN-STOCK")</f>
        <v>IN-STOCK</v>
      </c>
      <c r="K760" s="22" t="n">
        <f aca="false">E760*G760</f>
        <v>3386.24</v>
      </c>
      <c r="L760" s="22" t="n">
        <f aca="false">F760*H760</f>
        <v>3942.96</v>
      </c>
      <c r="M760" s="22" t="n">
        <f aca="false">L760-K760</f>
        <v>556.72</v>
      </c>
    </row>
    <row r="761" customFormat="false" ht="15" hidden="false" customHeight="false" outlineLevel="0" collapsed="false">
      <c r="A761" s="21" t="s">
        <v>930</v>
      </c>
      <c r="B761" s="21" t="s">
        <v>232</v>
      </c>
      <c r="C761" s="21" t="s">
        <v>79</v>
      </c>
      <c r="D761" s="21" t="s">
        <v>108</v>
      </c>
      <c r="E761" s="22" t="n">
        <v>10.93</v>
      </c>
      <c r="F761" s="22" t="n">
        <v>16.35</v>
      </c>
      <c r="G761" s="23" t="n">
        <v>457</v>
      </c>
      <c r="H761" s="23" t="n">
        <v>248</v>
      </c>
      <c r="I761" s="23" t="n">
        <f aca="false">G761-H761</f>
        <v>209</v>
      </c>
      <c r="J761" s="21" t="str">
        <f aca="false">IF(I761&lt;50,"LOW-IN-STOCK","IN-STOCK")</f>
        <v>IN-STOCK</v>
      </c>
      <c r="K761" s="22" t="n">
        <f aca="false">E761*G761</f>
        <v>4995.01</v>
      </c>
      <c r="L761" s="22" t="n">
        <f aca="false">F761*H761</f>
        <v>4054.8</v>
      </c>
      <c r="M761" s="22" t="n">
        <f aca="false">L761-K761</f>
        <v>-940.21</v>
      </c>
    </row>
    <row r="762" customFormat="false" ht="15" hidden="false" customHeight="false" outlineLevel="0" collapsed="false">
      <c r="A762" s="21" t="s">
        <v>931</v>
      </c>
      <c r="B762" s="21" t="s">
        <v>124</v>
      </c>
      <c r="C762" s="21" t="s">
        <v>79</v>
      </c>
      <c r="D762" s="21" t="s">
        <v>99</v>
      </c>
      <c r="E762" s="22" t="n">
        <v>8.59</v>
      </c>
      <c r="F762" s="22" t="n">
        <v>11.65</v>
      </c>
      <c r="G762" s="23" t="n">
        <v>382</v>
      </c>
      <c r="H762" s="23" t="n">
        <v>313</v>
      </c>
      <c r="I762" s="23" t="n">
        <f aca="false">G762-H762</f>
        <v>69</v>
      </c>
      <c r="J762" s="21" t="str">
        <f aca="false">IF(I762&lt;50,"LOW-IN-STOCK","IN-STOCK")</f>
        <v>IN-STOCK</v>
      </c>
      <c r="K762" s="22" t="n">
        <f aca="false">E762*G762</f>
        <v>3281.38</v>
      </c>
      <c r="L762" s="22" t="n">
        <f aca="false">F762*H762</f>
        <v>3646.45</v>
      </c>
      <c r="M762" s="22" t="n">
        <f aca="false">L762-K762</f>
        <v>365.07</v>
      </c>
    </row>
    <row r="763" customFormat="false" ht="15" hidden="false" customHeight="false" outlineLevel="0" collapsed="false">
      <c r="A763" s="21" t="s">
        <v>932</v>
      </c>
      <c r="B763" s="21" t="s">
        <v>227</v>
      </c>
      <c r="C763" s="21" t="s">
        <v>148</v>
      </c>
      <c r="D763" s="21" t="s">
        <v>84</v>
      </c>
      <c r="E763" s="22" t="n">
        <v>29.32</v>
      </c>
      <c r="F763" s="22" t="n">
        <v>47.09</v>
      </c>
      <c r="G763" s="23" t="n">
        <v>247</v>
      </c>
      <c r="H763" s="23" t="n">
        <v>139</v>
      </c>
      <c r="I763" s="23" t="n">
        <f aca="false">G763-H763</f>
        <v>108</v>
      </c>
      <c r="J763" s="21" t="str">
        <f aca="false">IF(I763&lt;50,"LOW-IN-STOCK","IN-STOCK")</f>
        <v>IN-STOCK</v>
      </c>
      <c r="K763" s="22" t="n">
        <f aca="false">E763*G763</f>
        <v>7242.04</v>
      </c>
      <c r="L763" s="22" t="n">
        <f aca="false">F763*H763</f>
        <v>6545.51</v>
      </c>
      <c r="M763" s="22" t="n">
        <f aca="false">L763-K763</f>
        <v>-696.53</v>
      </c>
    </row>
    <row r="764" customFormat="false" ht="15" hidden="false" customHeight="false" outlineLevel="0" collapsed="false">
      <c r="A764" s="21" t="s">
        <v>933</v>
      </c>
      <c r="B764" s="21" t="s">
        <v>74</v>
      </c>
      <c r="C764" s="21" t="s">
        <v>75</v>
      </c>
      <c r="D764" s="21" t="s">
        <v>76</v>
      </c>
      <c r="E764" s="22" t="n">
        <v>2.9</v>
      </c>
      <c r="F764" s="22" t="n">
        <v>4.55</v>
      </c>
      <c r="G764" s="23" t="n">
        <v>392</v>
      </c>
      <c r="H764" s="23" t="n">
        <v>49</v>
      </c>
      <c r="I764" s="23" t="n">
        <f aca="false">G764-H764</f>
        <v>343</v>
      </c>
      <c r="J764" s="21" t="str">
        <f aca="false">IF(I764&lt;50,"LOW-IN-STOCK","IN-STOCK")</f>
        <v>IN-STOCK</v>
      </c>
      <c r="K764" s="22" t="n">
        <f aca="false">E764*G764</f>
        <v>1136.8</v>
      </c>
      <c r="L764" s="22" t="n">
        <f aca="false">F764*H764</f>
        <v>222.95</v>
      </c>
      <c r="M764" s="22" t="n">
        <f aca="false">L764-K764</f>
        <v>-913.85</v>
      </c>
    </row>
    <row r="765" customFormat="false" ht="15" hidden="false" customHeight="false" outlineLevel="0" collapsed="false">
      <c r="A765" s="21" t="s">
        <v>934</v>
      </c>
      <c r="B765" s="21" t="s">
        <v>126</v>
      </c>
      <c r="C765" s="21" t="s">
        <v>79</v>
      </c>
      <c r="D765" s="21" t="s">
        <v>84</v>
      </c>
      <c r="E765" s="22" t="n">
        <v>2.63</v>
      </c>
      <c r="F765" s="22" t="n">
        <v>5</v>
      </c>
      <c r="G765" s="23" t="n">
        <v>104</v>
      </c>
      <c r="H765" s="23" t="n">
        <v>36</v>
      </c>
      <c r="I765" s="23" t="n">
        <f aca="false">G765-H765</f>
        <v>68</v>
      </c>
      <c r="J765" s="21" t="str">
        <f aca="false">IF(I765&lt;50,"LOW-IN-STOCK","IN-STOCK")</f>
        <v>IN-STOCK</v>
      </c>
      <c r="K765" s="22" t="n">
        <f aca="false">E765*G765</f>
        <v>273.52</v>
      </c>
      <c r="L765" s="22" t="n">
        <f aca="false">F765*H765</f>
        <v>180</v>
      </c>
      <c r="M765" s="22" t="n">
        <f aca="false">L765-K765</f>
        <v>-93.52</v>
      </c>
    </row>
    <row r="766" customFormat="false" ht="15" hidden="false" customHeight="false" outlineLevel="0" collapsed="false">
      <c r="A766" s="21" t="s">
        <v>935</v>
      </c>
      <c r="B766" s="21" t="s">
        <v>211</v>
      </c>
      <c r="C766" s="21" t="s">
        <v>113</v>
      </c>
      <c r="D766" s="21" t="s">
        <v>76</v>
      </c>
      <c r="E766" s="22" t="n">
        <v>33.29</v>
      </c>
      <c r="F766" s="22" t="n">
        <v>51.54</v>
      </c>
      <c r="G766" s="23" t="n">
        <v>427</v>
      </c>
      <c r="H766" s="23" t="n">
        <v>376</v>
      </c>
      <c r="I766" s="23" t="n">
        <f aca="false">G766-H766</f>
        <v>51</v>
      </c>
      <c r="J766" s="21" t="str">
        <f aca="false">IF(I766&lt;50,"LOW-IN-STOCK","IN-STOCK")</f>
        <v>IN-STOCK</v>
      </c>
      <c r="K766" s="22" t="n">
        <f aca="false">E766*G766</f>
        <v>14214.83</v>
      </c>
      <c r="L766" s="22" t="n">
        <f aca="false">F766*H766</f>
        <v>19379.04</v>
      </c>
      <c r="M766" s="22" t="n">
        <f aca="false">L766-K766</f>
        <v>5164.21</v>
      </c>
    </row>
    <row r="767" customFormat="false" ht="15" hidden="false" customHeight="false" outlineLevel="0" collapsed="false">
      <c r="A767" s="21" t="s">
        <v>936</v>
      </c>
      <c r="B767" s="21" t="s">
        <v>308</v>
      </c>
      <c r="C767" s="21" t="s">
        <v>87</v>
      </c>
      <c r="D767" s="21" t="s">
        <v>160</v>
      </c>
      <c r="E767" s="22" t="n">
        <v>9.68</v>
      </c>
      <c r="F767" s="22" t="n">
        <v>20.88</v>
      </c>
      <c r="G767" s="23" t="n">
        <v>270</v>
      </c>
      <c r="H767" s="23" t="n">
        <v>231</v>
      </c>
      <c r="I767" s="23" t="n">
        <f aca="false">G767-H767</f>
        <v>39</v>
      </c>
      <c r="J767" s="21" t="str">
        <f aca="false">IF(I767&lt;50,"LOW-IN-STOCK","IN-STOCK")</f>
        <v>LOW-IN-STOCK</v>
      </c>
      <c r="K767" s="22" t="n">
        <f aca="false">E767*G767</f>
        <v>2613.6</v>
      </c>
      <c r="L767" s="22" t="n">
        <f aca="false">F767*H767</f>
        <v>4823.28</v>
      </c>
      <c r="M767" s="22" t="n">
        <f aca="false">L767-K767</f>
        <v>2209.68</v>
      </c>
    </row>
    <row r="768" customFormat="false" ht="15" hidden="false" customHeight="false" outlineLevel="0" collapsed="false">
      <c r="A768" s="21" t="s">
        <v>937</v>
      </c>
      <c r="B768" s="21" t="s">
        <v>466</v>
      </c>
      <c r="C768" s="21" t="s">
        <v>79</v>
      </c>
      <c r="D768" s="21" t="s">
        <v>102</v>
      </c>
      <c r="E768" s="22" t="n">
        <v>6.26</v>
      </c>
      <c r="F768" s="22" t="n">
        <v>12.45</v>
      </c>
      <c r="G768" s="23" t="n">
        <v>240</v>
      </c>
      <c r="H768" s="23" t="n">
        <v>66</v>
      </c>
      <c r="I768" s="23" t="n">
        <f aca="false">G768-H768</f>
        <v>174</v>
      </c>
      <c r="J768" s="21" t="str">
        <f aca="false">IF(I768&lt;50,"LOW-IN-STOCK","IN-STOCK")</f>
        <v>IN-STOCK</v>
      </c>
      <c r="K768" s="22" t="n">
        <f aca="false">E768*G768</f>
        <v>1502.4</v>
      </c>
      <c r="L768" s="22" t="n">
        <f aca="false">F768*H768</f>
        <v>821.7</v>
      </c>
      <c r="M768" s="22" t="n">
        <f aca="false">L768-K768</f>
        <v>-680.7</v>
      </c>
    </row>
    <row r="769" customFormat="false" ht="15" hidden="false" customHeight="false" outlineLevel="0" collapsed="false">
      <c r="A769" s="21" t="s">
        <v>938</v>
      </c>
      <c r="B769" s="21" t="s">
        <v>176</v>
      </c>
      <c r="C769" s="21" t="s">
        <v>83</v>
      </c>
      <c r="D769" s="21" t="s">
        <v>88</v>
      </c>
      <c r="E769" s="22" t="n">
        <v>17.22</v>
      </c>
      <c r="F769" s="22" t="n">
        <v>31.03</v>
      </c>
      <c r="G769" s="23" t="n">
        <v>256</v>
      </c>
      <c r="H769" s="23" t="n">
        <v>91</v>
      </c>
      <c r="I769" s="23" t="n">
        <f aca="false">G769-H769</f>
        <v>165</v>
      </c>
      <c r="J769" s="21" t="str">
        <f aca="false">IF(I769&lt;50,"LOW-IN-STOCK","IN-STOCK")</f>
        <v>IN-STOCK</v>
      </c>
      <c r="K769" s="22" t="n">
        <f aca="false">E769*G769</f>
        <v>4408.32</v>
      </c>
      <c r="L769" s="22" t="n">
        <f aca="false">F769*H769</f>
        <v>2823.73</v>
      </c>
      <c r="M769" s="22" t="n">
        <f aca="false">L769-K769</f>
        <v>-1584.59</v>
      </c>
    </row>
    <row r="770" customFormat="false" ht="15" hidden="false" customHeight="false" outlineLevel="0" collapsed="false">
      <c r="A770" s="21" t="s">
        <v>939</v>
      </c>
      <c r="B770" s="21" t="s">
        <v>188</v>
      </c>
      <c r="C770" s="21" t="s">
        <v>113</v>
      </c>
      <c r="D770" s="21" t="s">
        <v>160</v>
      </c>
      <c r="E770" s="22" t="n">
        <v>18.16</v>
      </c>
      <c r="F770" s="22" t="n">
        <v>36.76</v>
      </c>
      <c r="G770" s="23" t="n">
        <v>72</v>
      </c>
      <c r="H770" s="23" t="n">
        <v>26</v>
      </c>
      <c r="I770" s="23" t="n">
        <f aca="false">G770-H770</f>
        <v>46</v>
      </c>
      <c r="J770" s="21" t="str">
        <f aca="false">IF(I770&lt;50,"LOW-IN-STOCK","IN-STOCK")</f>
        <v>LOW-IN-STOCK</v>
      </c>
      <c r="K770" s="22" t="n">
        <f aca="false">E770*G770</f>
        <v>1307.52</v>
      </c>
      <c r="L770" s="22" t="n">
        <f aca="false">F770*H770</f>
        <v>955.76</v>
      </c>
      <c r="M770" s="22" t="n">
        <f aca="false">L770-K770</f>
        <v>-351.76</v>
      </c>
    </row>
    <row r="771" customFormat="false" ht="15" hidden="false" customHeight="false" outlineLevel="0" collapsed="false">
      <c r="A771" s="21" t="s">
        <v>940</v>
      </c>
      <c r="B771" s="21" t="s">
        <v>104</v>
      </c>
      <c r="C771" s="21" t="s">
        <v>75</v>
      </c>
      <c r="D771" s="21" t="s">
        <v>84</v>
      </c>
      <c r="E771" s="22" t="n">
        <v>9.6</v>
      </c>
      <c r="F771" s="22" t="n">
        <v>19.19</v>
      </c>
      <c r="G771" s="23" t="n">
        <v>318</v>
      </c>
      <c r="H771" s="23" t="n">
        <v>58</v>
      </c>
      <c r="I771" s="23" t="n">
        <f aca="false">G771-H771</f>
        <v>260</v>
      </c>
      <c r="J771" s="21" t="str">
        <f aca="false">IF(I771&lt;50,"LOW-IN-STOCK","IN-STOCK")</f>
        <v>IN-STOCK</v>
      </c>
      <c r="K771" s="22" t="n">
        <f aca="false">E771*G771</f>
        <v>3052.8</v>
      </c>
      <c r="L771" s="22" t="n">
        <f aca="false">F771*H771</f>
        <v>1113.02</v>
      </c>
      <c r="M771" s="22" t="n">
        <f aca="false">L771-K771</f>
        <v>-1939.78</v>
      </c>
    </row>
    <row r="772" customFormat="false" ht="15" hidden="false" customHeight="false" outlineLevel="0" collapsed="false">
      <c r="A772" s="21" t="s">
        <v>941</v>
      </c>
      <c r="B772" s="21" t="s">
        <v>134</v>
      </c>
      <c r="C772" s="21" t="s">
        <v>83</v>
      </c>
      <c r="D772" s="21" t="s">
        <v>137</v>
      </c>
      <c r="E772" s="22" t="n">
        <v>19.4</v>
      </c>
      <c r="F772" s="22" t="n">
        <v>25.52</v>
      </c>
      <c r="G772" s="23" t="n">
        <v>201</v>
      </c>
      <c r="H772" s="23" t="n">
        <v>48</v>
      </c>
      <c r="I772" s="23" t="n">
        <f aca="false">G772-H772</f>
        <v>153</v>
      </c>
      <c r="J772" s="21" t="str">
        <f aca="false">IF(I772&lt;50,"LOW-IN-STOCK","IN-STOCK")</f>
        <v>IN-STOCK</v>
      </c>
      <c r="K772" s="22" t="n">
        <f aca="false">E772*G772</f>
        <v>3899.4</v>
      </c>
      <c r="L772" s="22" t="n">
        <f aca="false">F772*H772</f>
        <v>1224.96</v>
      </c>
      <c r="M772" s="22" t="n">
        <f aca="false">L772-K772</f>
        <v>-2674.44</v>
      </c>
    </row>
    <row r="773" customFormat="false" ht="15" hidden="false" customHeight="false" outlineLevel="0" collapsed="false">
      <c r="A773" s="21" t="s">
        <v>942</v>
      </c>
      <c r="B773" s="21" t="s">
        <v>232</v>
      </c>
      <c r="C773" s="21" t="s">
        <v>79</v>
      </c>
      <c r="D773" s="21" t="s">
        <v>102</v>
      </c>
      <c r="E773" s="22" t="n">
        <v>8.86</v>
      </c>
      <c r="F773" s="22" t="n">
        <v>12.62</v>
      </c>
      <c r="G773" s="23" t="n">
        <v>44</v>
      </c>
      <c r="H773" s="23" t="n">
        <v>15</v>
      </c>
      <c r="I773" s="23" t="n">
        <f aca="false">G773-H773</f>
        <v>29</v>
      </c>
      <c r="J773" s="21" t="str">
        <f aca="false">IF(I773&lt;50,"LOW-IN-STOCK","IN-STOCK")</f>
        <v>LOW-IN-STOCK</v>
      </c>
      <c r="K773" s="22" t="n">
        <f aca="false">E773*G773</f>
        <v>389.84</v>
      </c>
      <c r="L773" s="22" t="n">
        <f aca="false">F773*H773</f>
        <v>189.3</v>
      </c>
      <c r="M773" s="22" t="n">
        <f aca="false">L773-K773</f>
        <v>-200.54</v>
      </c>
    </row>
    <row r="774" customFormat="false" ht="15" hidden="false" customHeight="false" outlineLevel="0" collapsed="false">
      <c r="A774" s="21" t="s">
        <v>943</v>
      </c>
      <c r="B774" s="21" t="s">
        <v>201</v>
      </c>
      <c r="C774" s="21" t="s">
        <v>107</v>
      </c>
      <c r="D774" s="21" t="s">
        <v>84</v>
      </c>
      <c r="E774" s="22" t="n">
        <v>13.59</v>
      </c>
      <c r="F774" s="22" t="n">
        <v>28.91</v>
      </c>
      <c r="G774" s="23" t="n">
        <v>492</v>
      </c>
      <c r="H774" s="23" t="n">
        <v>69</v>
      </c>
      <c r="I774" s="23" t="n">
        <f aca="false">G774-H774</f>
        <v>423</v>
      </c>
      <c r="J774" s="21" t="str">
        <f aca="false">IF(I774&lt;50,"LOW-IN-STOCK","IN-STOCK")</f>
        <v>IN-STOCK</v>
      </c>
      <c r="K774" s="22" t="n">
        <f aca="false">E774*G774</f>
        <v>6686.28</v>
      </c>
      <c r="L774" s="22" t="n">
        <f aca="false">F774*H774</f>
        <v>1994.79</v>
      </c>
      <c r="M774" s="22" t="n">
        <f aca="false">L774-K774</f>
        <v>-4691.49</v>
      </c>
    </row>
    <row r="775" customFormat="false" ht="15" hidden="false" customHeight="false" outlineLevel="0" collapsed="false">
      <c r="A775" s="21" t="s">
        <v>944</v>
      </c>
      <c r="B775" s="21" t="s">
        <v>95</v>
      </c>
      <c r="C775" s="21" t="s">
        <v>75</v>
      </c>
      <c r="D775" s="21" t="s">
        <v>88</v>
      </c>
      <c r="E775" s="22" t="n">
        <v>4.63</v>
      </c>
      <c r="F775" s="22" t="n">
        <v>9.04</v>
      </c>
      <c r="G775" s="23" t="n">
        <v>307</v>
      </c>
      <c r="H775" s="23" t="n">
        <v>63</v>
      </c>
      <c r="I775" s="23" t="n">
        <f aca="false">G775-H775</f>
        <v>244</v>
      </c>
      <c r="J775" s="21" t="str">
        <f aca="false">IF(I775&lt;50,"LOW-IN-STOCK","IN-STOCK")</f>
        <v>IN-STOCK</v>
      </c>
      <c r="K775" s="22" t="n">
        <f aca="false">E775*G775</f>
        <v>1421.41</v>
      </c>
      <c r="L775" s="22" t="n">
        <f aca="false">F775*H775</f>
        <v>569.52</v>
      </c>
      <c r="M775" s="22" t="n">
        <f aca="false">L775-K775</f>
        <v>-851.89</v>
      </c>
    </row>
    <row r="776" customFormat="false" ht="15" hidden="false" customHeight="false" outlineLevel="0" collapsed="false">
      <c r="A776" s="21" t="s">
        <v>945</v>
      </c>
      <c r="B776" s="21" t="s">
        <v>145</v>
      </c>
      <c r="C776" s="21" t="s">
        <v>87</v>
      </c>
      <c r="D776" s="21" t="s">
        <v>160</v>
      </c>
      <c r="E776" s="22" t="n">
        <v>14.41</v>
      </c>
      <c r="F776" s="22" t="n">
        <v>21.81</v>
      </c>
      <c r="G776" s="23" t="n">
        <v>432</v>
      </c>
      <c r="H776" s="23" t="n">
        <v>190</v>
      </c>
      <c r="I776" s="23" t="n">
        <f aca="false">G776-H776</f>
        <v>242</v>
      </c>
      <c r="J776" s="21" t="str">
        <f aca="false">IF(I776&lt;50,"LOW-IN-STOCK","IN-STOCK")</f>
        <v>IN-STOCK</v>
      </c>
      <c r="K776" s="22" t="n">
        <f aca="false">E776*G776</f>
        <v>6225.12</v>
      </c>
      <c r="L776" s="22" t="n">
        <f aca="false">F776*H776</f>
        <v>4143.9</v>
      </c>
      <c r="M776" s="22" t="n">
        <f aca="false">L776-K776</f>
        <v>-2081.22</v>
      </c>
    </row>
    <row r="777" customFormat="false" ht="15" hidden="false" customHeight="false" outlineLevel="0" collapsed="false">
      <c r="A777" s="21" t="s">
        <v>946</v>
      </c>
      <c r="B777" s="21" t="s">
        <v>124</v>
      </c>
      <c r="C777" s="21" t="s">
        <v>79</v>
      </c>
      <c r="D777" s="21" t="s">
        <v>99</v>
      </c>
      <c r="E777" s="22" t="n">
        <v>11.65</v>
      </c>
      <c r="F777" s="22" t="n">
        <v>20.25</v>
      </c>
      <c r="G777" s="23" t="n">
        <v>411</v>
      </c>
      <c r="H777" s="23" t="n">
        <v>363</v>
      </c>
      <c r="I777" s="23" t="n">
        <f aca="false">G777-H777</f>
        <v>48</v>
      </c>
      <c r="J777" s="21" t="str">
        <f aca="false">IF(I777&lt;50,"LOW-IN-STOCK","IN-STOCK")</f>
        <v>LOW-IN-STOCK</v>
      </c>
      <c r="K777" s="22" t="n">
        <f aca="false">E777*G777</f>
        <v>4788.15</v>
      </c>
      <c r="L777" s="22" t="n">
        <f aca="false">F777*H777</f>
        <v>7350.75</v>
      </c>
      <c r="M777" s="22" t="n">
        <f aca="false">L777-K777</f>
        <v>2562.6</v>
      </c>
    </row>
    <row r="778" customFormat="false" ht="15" hidden="false" customHeight="false" outlineLevel="0" collapsed="false">
      <c r="A778" s="21" t="s">
        <v>947</v>
      </c>
      <c r="B778" s="21" t="s">
        <v>176</v>
      </c>
      <c r="C778" s="21" t="s">
        <v>83</v>
      </c>
      <c r="D778" s="21" t="s">
        <v>88</v>
      </c>
      <c r="E778" s="22" t="n">
        <v>22.38</v>
      </c>
      <c r="F778" s="22" t="n">
        <v>33.46</v>
      </c>
      <c r="G778" s="23" t="n">
        <v>112</v>
      </c>
      <c r="H778" s="23" t="n">
        <v>70</v>
      </c>
      <c r="I778" s="23" t="n">
        <f aca="false">G778-H778</f>
        <v>42</v>
      </c>
      <c r="J778" s="21" t="str">
        <f aca="false">IF(I778&lt;50,"LOW-IN-STOCK","IN-STOCK")</f>
        <v>LOW-IN-STOCK</v>
      </c>
      <c r="K778" s="22" t="n">
        <f aca="false">E778*G778</f>
        <v>2506.56</v>
      </c>
      <c r="L778" s="22" t="n">
        <f aca="false">F778*H778</f>
        <v>2342.2</v>
      </c>
      <c r="M778" s="22" t="n">
        <f aca="false">L778-K778</f>
        <v>-164.36</v>
      </c>
    </row>
    <row r="779" customFormat="false" ht="15" hidden="false" customHeight="false" outlineLevel="0" collapsed="false">
      <c r="A779" s="21" t="s">
        <v>948</v>
      </c>
      <c r="B779" s="21" t="s">
        <v>129</v>
      </c>
      <c r="C779" s="21" t="s">
        <v>83</v>
      </c>
      <c r="D779" s="21" t="s">
        <v>137</v>
      </c>
      <c r="E779" s="22" t="n">
        <v>22.2</v>
      </c>
      <c r="F779" s="22" t="n">
        <v>39.73</v>
      </c>
      <c r="G779" s="23" t="n">
        <v>43</v>
      </c>
      <c r="H779" s="23" t="n">
        <v>36</v>
      </c>
      <c r="I779" s="23" t="n">
        <f aca="false">G779-H779</f>
        <v>7</v>
      </c>
      <c r="J779" s="21" t="str">
        <f aca="false">IF(I779&lt;50,"LOW-IN-STOCK","IN-STOCK")</f>
        <v>LOW-IN-STOCK</v>
      </c>
      <c r="K779" s="22" t="n">
        <f aca="false">E779*G779</f>
        <v>954.6</v>
      </c>
      <c r="L779" s="22" t="n">
        <f aca="false">F779*H779</f>
        <v>1430.28</v>
      </c>
      <c r="M779" s="22" t="n">
        <f aca="false">L779-K779</f>
        <v>475.68</v>
      </c>
    </row>
    <row r="780" customFormat="false" ht="15" hidden="false" customHeight="false" outlineLevel="0" collapsed="false">
      <c r="A780" s="21" t="s">
        <v>949</v>
      </c>
      <c r="B780" s="21" t="s">
        <v>447</v>
      </c>
      <c r="C780" s="21" t="s">
        <v>148</v>
      </c>
      <c r="D780" s="21" t="s">
        <v>88</v>
      </c>
      <c r="E780" s="22" t="n">
        <v>24.12</v>
      </c>
      <c r="F780" s="22" t="n">
        <v>51.72</v>
      </c>
      <c r="G780" s="23" t="n">
        <v>262</v>
      </c>
      <c r="H780" s="23" t="n">
        <v>222</v>
      </c>
      <c r="I780" s="23" t="n">
        <f aca="false">G780-H780</f>
        <v>40</v>
      </c>
      <c r="J780" s="21" t="str">
        <f aca="false">IF(I780&lt;50,"LOW-IN-STOCK","IN-STOCK")</f>
        <v>LOW-IN-STOCK</v>
      </c>
      <c r="K780" s="22" t="n">
        <f aca="false">E780*G780</f>
        <v>6319.44</v>
      </c>
      <c r="L780" s="22" t="n">
        <f aca="false">F780*H780</f>
        <v>11481.84</v>
      </c>
      <c r="M780" s="22" t="n">
        <f aca="false">L780-K780</f>
        <v>5162.4</v>
      </c>
    </row>
    <row r="781" customFormat="false" ht="15" hidden="false" customHeight="false" outlineLevel="0" collapsed="false">
      <c r="A781" s="21" t="s">
        <v>950</v>
      </c>
      <c r="B781" s="21" t="s">
        <v>164</v>
      </c>
      <c r="C781" s="21" t="s">
        <v>93</v>
      </c>
      <c r="D781" s="21" t="s">
        <v>99</v>
      </c>
      <c r="E781" s="22" t="n">
        <v>6.68</v>
      </c>
      <c r="F781" s="22" t="n">
        <v>11.76</v>
      </c>
      <c r="G781" s="23" t="n">
        <v>265</v>
      </c>
      <c r="H781" s="23" t="n">
        <v>216</v>
      </c>
      <c r="I781" s="23" t="n">
        <f aca="false">G781-H781</f>
        <v>49</v>
      </c>
      <c r="J781" s="21" t="str">
        <f aca="false">IF(I781&lt;50,"LOW-IN-STOCK","IN-STOCK")</f>
        <v>LOW-IN-STOCK</v>
      </c>
      <c r="K781" s="22" t="n">
        <f aca="false">E781*G781</f>
        <v>1770.2</v>
      </c>
      <c r="L781" s="22" t="n">
        <f aca="false">F781*H781</f>
        <v>2540.16</v>
      </c>
      <c r="M781" s="22" t="n">
        <f aca="false">L781-K781</f>
        <v>769.96</v>
      </c>
    </row>
    <row r="782" customFormat="false" ht="15" hidden="false" customHeight="false" outlineLevel="0" collapsed="false">
      <c r="A782" s="21" t="s">
        <v>951</v>
      </c>
      <c r="B782" s="21" t="s">
        <v>92</v>
      </c>
      <c r="C782" s="21" t="s">
        <v>93</v>
      </c>
      <c r="D782" s="21" t="s">
        <v>88</v>
      </c>
      <c r="E782" s="22" t="n">
        <v>8.38</v>
      </c>
      <c r="F782" s="22" t="n">
        <v>15.61</v>
      </c>
      <c r="G782" s="23" t="n">
        <v>360</v>
      </c>
      <c r="H782" s="23" t="n">
        <v>328</v>
      </c>
      <c r="I782" s="23" t="n">
        <f aca="false">G782-H782</f>
        <v>32</v>
      </c>
      <c r="J782" s="21" t="str">
        <f aca="false">IF(I782&lt;50,"LOW-IN-STOCK","IN-STOCK")</f>
        <v>LOW-IN-STOCK</v>
      </c>
      <c r="K782" s="22" t="n">
        <f aca="false">E782*G782</f>
        <v>3016.8</v>
      </c>
      <c r="L782" s="22" t="n">
        <f aca="false">F782*H782</f>
        <v>5120.08</v>
      </c>
      <c r="M782" s="22" t="n">
        <f aca="false">L782-K782</f>
        <v>2103.28</v>
      </c>
    </row>
    <row r="783" customFormat="false" ht="15" hidden="false" customHeight="false" outlineLevel="0" collapsed="false">
      <c r="A783" s="21" t="s">
        <v>952</v>
      </c>
      <c r="B783" s="21" t="s">
        <v>74</v>
      </c>
      <c r="C783" s="21" t="s">
        <v>75</v>
      </c>
      <c r="D783" s="21" t="s">
        <v>84</v>
      </c>
      <c r="E783" s="22" t="n">
        <v>26.11</v>
      </c>
      <c r="F783" s="22" t="n">
        <v>52.8</v>
      </c>
      <c r="G783" s="23" t="n">
        <v>179</v>
      </c>
      <c r="H783" s="23" t="n">
        <v>49</v>
      </c>
      <c r="I783" s="23" t="n">
        <f aca="false">G783-H783</f>
        <v>130</v>
      </c>
      <c r="J783" s="21" t="str">
        <f aca="false">IF(I783&lt;50,"LOW-IN-STOCK","IN-STOCK")</f>
        <v>IN-STOCK</v>
      </c>
      <c r="K783" s="22" t="n">
        <f aca="false">E783*G783</f>
        <v>4673.69</v>
      </c>
      <c r="L783" s="22" t="n">
        <f aca="false">F783*H783</f>
        <v>2587.2</v>
      </c>
      <c r="M783" s="22" t="n">
        <f aca="false">L783-K783</f>
        <v>-2086.49</v>
      </c>
    </row>
    <row r="784" customFormat="false" ht="15" hidden="false" customHeight="false" outlineLevel="0" collapsed="false">
      <c r="A784" s="21" t="s">
        <v>953</v>
      </c>
      <c r="B784" s="21" t="s">
        <v>86</v>
      </c>
      <c r="C784" s="21" t="s">
        <v>87</v>
      </c>
      <c r="D784" s="21" t="s">
        <v>108</v>
      </c>
      <c r="E784" s="22" t="n">
        <v>8.69</v>
      </c>
      <c r="F784" s="22" t="n">
        <v>18.8</v>
      </c>
      <c r="G784" s="23" t="n">
        <v>104</v>
      </c>
      <c r="H784" s="23" t="n">
        <v>11</v>
      </c>
      <c r="I784" s="23" t="n">
        <f aca="false">G784-H784</f>
        <v>93</v>
      </c>
      <c r="J784" s="21" t="str">
        <f aca="false">IF(I784&lt;50,"LOW-IN-STOCK","IN-STOCK")</f>
        <v>IN-STOCK</v>
      </c>
      <c r="K784" s="22" t="n">
        <f aca="false">E784*G784</f>
        <v>903.76</v>
      </c>
      <c r="L784" s="22" t="n">
        <f aca="false">F784*H784</f>
        <v>206.8</v>
      </c>
      <c r="M784" s="22" t="n">
        <f aca="false">L784-K784</f>
        <v>-696.96</v>
      </c>
    </row>
    <row r="785" customFormat="false" ht="15" hidden="false" customHeight="false" outlineLevel="0" collapsed="false">
      <c r="A785" s="21" t="s">
        <v>954</v>
      </c>
      <c r="B785" s="21" t="s">
        <v>78</v>
      </c>
      <c r="C785" s="21" t="s">
        <v>79</v>
      </c>
      <c r="D785" s="21" t="s">
        <v>76</v>
      </c>
      <c r="E785" s="22" t="n">
        <v>16.68</v>
      </c>
      <c r="F785" s="22" t="n">
        <v>35.89</v>
      </c>
      <c r="G785" s="23" t="n">
        <v>323</v>
      </c>
      <c r="H785" s="23" t="n">
        <v>208</v>
      </c>
      <c r="I785" s="23" t="n">
        <f aca="false">G785-H785</f>
        <v>115</v>
      </c>
      <c r="J785" s="21" t="str">
        <f aca="false">IF(I785&lt;50,"LOW-IN-STOCK","IN-STOCK")</f>
        <v>IN-STOCK</v>
      </c>
      <c r="K785" s="22" t="n">
        <f aca="false">E785*G785</f>
        <v>5387.64</v>
      </c>
      <c r="L785" s="22" t="n">
        <f aca="false">F785*H785</f>
        <v>7465.12</v>
      </c>
      <c r="M785" s="22" t="n">
        <f aca="false">L785-K785</f>
        <v>2077.48</v>
      </c>
    </row>
    <row r="786" customFormat="false" ht="15" hidden="false" customHeight="false" outlineLevel="0" collapsed="false">
      <c r="A786" s="21" t="s">
        <v>955</v>
      </c>
      <c r="B786" s="21" t="s">
        <v>481</v>
      </c>
      <c r="C786" s="21" t="s">
        <v>93</v>
      </c>
      <c r="D786" s="21" t="s">
        <v>84</v>
      </c>
      <c r="E786" s="22" t="n">
        <v>2.46</v>
      </c>
      <c r="F786" s="22" t="n">
        <v>4.08</v>
      </c>
      <c r="G786" s="23" t="n">
        <v>396</v>
      </c>
      <c r="H786" s="23" t="n">
        <v>189</v>
      </c>
      <c r="I786" s="23" t="n">
        <f aca="false">G786-H786</f>
        <v>207</v>
      </c>
      <c r="J786" s="21" t="str">
        <f aca="false">IF(I786&lt;50,"LOW-IN-STOCK","IN-STOCK")</f>
        <v>IN-STOCK</v>
      </c>
      <c r="K786" s="22" t="n">
        <f aca="false">E786*G786</f>
        <v>974.16</v>
      </c>
      <c r="L786" s="22" t="n">
        <f aca="false">F786*H786</f>
        <v>771.12</v>
      </c>
      <c r="M786" s="22" t="n">
        <f aca="false">L786-K786</f>
        <v>-203.04</v>
      </c>
    </row>
    <row r="787" customFormat="false" ht="15" hidden="false" customHeight="false" outlineLevel="0" collapsed="false">
      <c r="A787" s="21" t="s">
        <v>956</v>
      </c>
      <c r="B787" s="21" t="s">
        <v>383</v>
      </c>
      <c r="C787" s="21" t="s">
        <v>87</v>
      </c>
      <c r="D787" s="21" t="s">
        <v>99</v>
      </c>
      <c r="E787" s="22" t="n">
        <v>10.96</v>
      </c>
      <c r="F787" s="22" t="n">
        <v>23.12</v>
      </c>
      <c r="G787" s="23" t="n">
        <v>295</v>
      </c>
      <c r="H787" s="23" t="n">
        <v>266</v>
      </c>
      <c r="I787" s="23" t="n">
        <f aca="false">G787-H787</f>
        <v>29</v>
      </c>
      <c r="J787" s="21" t="str">
        <f aca="false">IF(I787&lt;50,"LOW-IN-STOCK","IN-STOCK")</f>
        <v>LOW-IN-STOCK</v>
      </c>
      <c r="K787" s="22" t="n">
        <f aca="false">E787*G787</f>
        <v>3233.2</v>
      </c>
      <c r="L787" s="22" t="n">
        <f aca="false">F787*H787</f>
        <v>6149.92</v>
      </c>
      <c r="M787" s="22" t="n">
        <f aca="false">L787-K787</f>
        <v>2916.72</v>
      </c>
    </row>
    <row r="788" customFormat="false" ht="15" hidden="false" customHeight="false" outlineLevel="0" collapsed="false">
      <c r="A788" s="21" t="s">
        <v>957</v>
      </c>
      <c r="B788" s="21" t="s">
        <v>112</v>
      </c>
      <c r="C788" s="21" t="s">
        <v>113</v>
      </c>
      <c r="D788" s="21" t="s">
        <v>108</v>
      </c>
      <c r="E788" s="22" t="n">
        <v>21.01</v>
      </c>
      <c r="F788" s="22" t="n">
        <v>36.23</v>
      </c>
      <c r="G788" s="23" t="n">
        <v>20</v>
      </c>
      <c r="H788" s="23" t="n">
        <v>13</v>
      </c>
      <c r="I788" s="23" t="n">
        <f aca="false">G788-H788</f>
        <v>7</v>
      </c>
      <c r="J788" s="21" t="str">
        <f aca="false">IF(I788&lt;50,"LOW-IN-STOCK","IN-STOCK")</f>
        <v>LOW-IN-STOCK</v>
      </c>
      <c r="K788" s="22" t="n">
        <f aca="false">E788*G788</f>
        <v>420.2</v>
      </c>
      <c r="L788" s="22" t="n">
        <f aca="false">F788*H788</f>
        <v>470.99</v>
      </c>
      <c r="M788" s="22" t="n">
        <f aca="false">L788-K788</f>
        <v>50.7899999999999</v>
      </c>
    </row>
    <row r="789" customFormat="false" ht="15" hidden="false" customHeight="false" outlineLevel="0" collapsed="false">
      <c r="A789" s="21" t="s">
        <v>958</v>
      </c>
      <c r="B789" s="21" t="s">
        <v>164</v>
      </c>
      <c r="C789" s="21" t="s">
        <v>93</v>
      </c>
      <c r="D789" s="21" t="s">
        <v>102</v>
      </c>
      <c r="E789" s="22" t="n">
        <v>2.85</v>
      </c>
      <c r="F789" s="22" t="n">
        <v>4.62</v>
      </c>
      <c r="G789" s="23" t="n">
        <v>228</v>
      </c>
      <c r="H789" s="23" t="n">
        <v>187</v>
      </c>
      <c r="I789" s="23" t="n">
        <f aca="false">G789-H789</f>
        <v>41</v>
      </c>
      <c r="J789" s="21" t="str">
        <f aca="false">IF(I789&lt;50,"LOW-IN-STOCK","IN-STOCK")</f>
        <v>LOW-IN-STOCK</v>
      </c>
      <c r="K789" s="22" t="n">
        <f aca="false">E789*G789</f>
        <v>649.8</v>
      </c>
      <c r="L789" s="22" t="n">
        <f aca="false">F789*H789</f>
        <v>863.94</v>
      </c>
      <c r="M789" s="22" t="n">
        <f aca="false">L789-K789</f>
        <v>214.14</v>
      </c>
    </row>
    <row r="790" customFormat="false" ht="15" hidden="false" customHeight="false" outlineLevel="0" collapsed="false">
      <c r="A790" s="21" t="s">
        <v>959</v>
      </c>
      <c r="B790" s="21" t="s">
        <v>154</v>
      </c>
      <c r="C790" s="21" t="s">
        <v>93</v>
      </c>
      <c r="D790" s="21" t="s">
        <v>160</v>
      </c>
      <c r="E790" s="22" t="n">
        <v>9.87</v>
      </c>
      <c r="F790" s="22" t="n">
        <v>13.86</v>
      </c>
      <c r="G790" s="23" t="n">
        <v>466</v>
      </c>
      <c r="H790" s="23" t="n">
        <v>415</v>
      </c>
      <c r="I790" s="23" t="n">
        <f aca="false">G790-H790</f>
        <v>51</v>
      </c>
      <c r="J790" s="21" t="str">
        <f aca="false">IF(I790&lt;50,"LOW-IN-STOCK","IN-STOCK")</f>
        <v>IN-STOCK</v>
      </c>
      <c r="K790" s="22" t="n">
        <f aca="false">E790*G790</f>
        <v>4599.42</v>
      </c>
      <c r="L790" s="22" t="n">
        <f aca="false">F790*H790</f>
        <v>5751.9</v>
      </c>
      <c r="M790" s="22" t="n">
        <f aca="false">L790-K790</f>
        <v>1152.48</v>
      </c>
    </row>
    <row r="791" customFormat="false" ht="15" hidden="false" customHeight="false" outlineLevel="0" collapsed="false">
      <c r="A791" s="21" t="s">
        <v>960</v>
      </c>
      <c r="B791" s="21" t="s">
        <v>246</v>
      </c>
      <c r="C791" s="21" t="s">
        <v>75</v>
      </c>
      <c r="D791" s="21" t="s">
        <v>80</v>
      </c>
      <c r="E791" s="22" t="n">
        <v>29.22</v>
      </c>
      <c r="F791" s="22" t="n">
        <v>39.61</v>
      </c>
      <c r="G791" s="23" t="n">
        <v>337</v>
      </c>
      <c r="H791" s="23" t="n">
        <v>276</v>
      </c>
      <c r="I791" s="23" t="n">
        <f aca="false">G791-H791</f>
        <v>61</v>
      </c>
      <c r="J791" s="21" t="str">
        <f aca="false">IF(I791&lt;50,"LOW-IN-STOCK","IN-STOCK")</f>
        <v>IN-STOCK</v>
      </c>
      <c r="K791" s="22" t="n">
        <f aca="false">E791*G791</f>
        <v>9847.14</v>
      </c>
      <c r="L791" s="22" t="n">
        <f aca="false">F791*H791</f>
        <v>10932.36</v>
      </c>
      <c r="M791" s="22" t="n">
        <f aca="false">L791-K791</f>
        <v>1085.22</v>
      </c>
    </row>
    <row r="792" customFormat="false" ht="15" hidden="false" customHeight="false" outlineLevel="0" collapsed="false">
      <c r="A792" s="21" t="s">
        <v>961</v>
      </c>
      <c r="B792" s="21" t="s">
        <v>201</v>
      </c>
      <c r="C792" s="21" t="s">
        <v>107</v>
      </c>
      <c r="D792" s="21" t="s">
        <v>160</v>
      </c>
      <c r="E792" s="22" t="n">
        <v>9.91</v>
      </c>
      <c r="F792" s="22" t="n">
        <v>21.53</v>
      </c>
      <c r="G792" s="23" t="n">
        <v>201</v>
      </c>
      <c r="H792" s="23" t="n">
        <v>46</v>
      </c>
      <c r="I792" s="23" t="n">
        <f aca="false">G792-H792</f>
        <v>155</v>
      </c>
      <c r="J792" s="21" t="str">
        <f aca="false">IF(I792&lt;50,"LOW-IN-STOCK","IN-STOCK")</f>
        <v>IN-STOCK</v>
      </c>
      <c r="K792" s="22" t="n">
        <f aca="false">E792*G792</f>
        <v>1991.91</v>
      </c>
      <c r="L792" s="22" t="n">
        <f aca="false">F792*H792</f>
        <v>990.38</v>
      </c>
      <c r="M792" s="22" t="n">
        <f aca="false">L792-K792</f>
        <v>-1001.53</v>
      </c>
    </row>
    <row r="793" customFormat="false" ht="15" hidden="false" customHeight="false" outlineLevel="0" collapsed="false">
      <c r="A793" s="21" t="s">
        <v>962</v>
      </c>
      <c r="B793" s="21" t="s">
        <v>262</v>
      </c>
      <c r="C793" s="21" t="s">
        <v>75</v>
      </c>
      <c r="D793" s="21" t="s">
        <v>80</v>
      </c>
      <c r="E793" s="22" t="n">
        <v>12.36</v>
      </c>
      <c r="F793" s="22" t="n">
        <v>17.5</v>
      </c>
      <c r="G793" s="23" t="n">
        <v>471</v>
      </c>
      <c r="H793" s="23" t="n">
        <v>435</v>
      </c>
      <c r="I793" s="23" t="n">
        <f aca="false">G793-H793</f>
        <v>36</v>
      </c>
      <c r="J793" s="21" t="str">
        <f aca="false">IF(I793&lt;50,"LOW-IN-STOCK","IN-STOCK")</f>
        <v>LOW-IN-STOCK</v>
      </c>
      <c r="K793" s="22" t="n">
        <f aca="false">E793*G793</f>
        <v>5821.56</v>
      </c>
      <c r="L793" s="22" t="n">
        <f aca="false">F793*H793</f>
        <v>7612.5</v>
      </c>
      <c r="M793" s="22" t="n">
        <f aca="false">L793-K793</f>
        <v>1790.94</v>
      </c>
    </row>
    <row r="794" customFormat="false" ht="15" hidden="false" customHeight="false" outlineLevel="0" collapsed="false">
      <c r="A794" s="21" t="s">
        <v>963</v>
      </c>
      <c r="B794" s="21" t="s">
        <v>184</v>
      </c>
      <c r="C794" s="21" t="s">
        <v>148</v>
      </c>
      <c r="D794" s="21" t="s">
        <v>88</v>
      </c>
      <c r="E794" s="22" t="n">
        <v>69.4</v>
      </c>
      <c r="F794" s="22" t="n">
        <v>133.51</v>
      </c>
      <c r="G794" s="23" t="n">
        <v>462</v>
      </c>
      <c r="H794" s="23" t="n">
        <v>324</v>
      </c>
      <c r="I794" s="23" t="n">
        <f aca="false">G794-H794</f>
        <v>138</v>
      </c>
      <c r="J794" s="21" t="str">
        <f aca="false">IF(I794&lt;50,"LOW-IN-STOCK","IN-STOCK")</f>
        <v>IN-STOCK</v>
      </c>
      <c r="K794" s="22" t="n">
        <f aca="false">E794*G794</f>
        <v>32062.8</v>
      </c>
      <c r="L794" s="22" t="n">
        <f aca="false">F794*H794</f>
        <v>43257.24</v>
      </c>
      <c r="M794" s="22" t="n">
        <f aca="false">L794-K794</f>
        <v>11194.44</v>
      </c>
    </row>
    <row r="795" customFormat="false" ht="15" hidden="false" customHeight="false" outlineLevel="0" collapsed="false">
      <c r="A795" s="21" t="s">
        <v>964</v>
      </c>
      <c r="B795" s="21" t="s">
        <v>95</v>
      </c>
      <c r="C795" s="21" t="s">
        <v>75</v>
      </c>
      <c r="D795" s="21" t="s">
        <v>99</v>
      </c>
      <c r="E795" s="22" t="n">
        <v>9.07</v>
      </c>
      <c r="F795" s="22" t="n">
        <v>14.61</v>
      </c>
      <c r="G795" s="23" t="n">
        <v>142</v>
      </c>
      <c r="H795" s="23" t="n">
        <v>91</v>
      </c>
      <c r="I795" s="23" t="n">
        <f aca="false">G795-H795</f>
        <v>51</v>
      </c>
      <c r="J795" s="21" t="str">
        <f aca="false">IF(I795&lt;50,"LOW-IN-STOCK","IN-STOCK")</f>
        <v>IN-STOCK</v>
      </c>
      <c r="K795" s="22" t="n">
        <f aca="false">E795*G795</f>
        <v>1287.94</v>
      </c>
      <c r="L795" s="22" t="n">
        <f aca="false">F795*H795</f>
        <v>1329.51</v>
      </c>
      <c r="M795" s="22" t="n">
        <f aca="false">L795-K795</f>
        <v>41.5699999999999</v>
      </c>
    </row>
    <row r="796" customFormat="false" ht="15" hidden="false" customHeight="false" outlineLevel="0" collapsed="false">
      <c r="A796" s="21" t="s">
        <v>965</v>
      </c>
      <c r="B796" s="21" t="s">
        <v>86</v>
      </c>
      <c r="C796" s="21" t="s">
        <v>87</v>
      </c>
      <c r="D796" s="21" t="s">
        <v>99</v>
      </c>
      <c r="E796" s="22" t="n">
        <v>21.16</v>
      </c>
      <c r="F796" s="22" t="n">
        <v>32.83</v>
      </c>
      <c r="G796" s="23" t="n">
        <v>482</v>
      </c>
      <c r="H796" s="23" t="n">
        <v>150</v>
      </c>
      <c r="I796" s="23" t="n">
        <f aca="false">G796-H796</f>
        <v>332</v>
      </c>
      <c r="J796" s="21" t="str">
        <f aca="false">IF(I796&lt;50,"LOW-IN-STOCK","IN-STOCK")</f>
        <v>IN-STOCK</v>
      </c>
      <c r="K796" s="22" t="n">
        <f aca="false">E796*G796</f>
        <v>10199.12</v>
      </c>
      <c r="L796" s="22" t="n">
        <f aca="false">F796*H796</f>
        <v>4924.5</v>
      </c>
      <c r="M796" s="22" t="n">
        <f aca="false">L796-K796</f>
        <v>-5274.62</v>
      </c>
    </row>
    <row r="797" customFormat="false" ht="15" hidden="false" customHeight="false" outlineLevel="0" collapsed="false">
      <c r="A797" s="21" t="s">
        <v>966</v>
      </c>
      <c r="B797" s="21" t="s">
        <v>101</v>
      </c>
      <c r="C797" s="21" t="s">
        <v>83</v>
      </c>
      <c r="D797" s="21" t="s">
        <v>76</v>
      </c>
      <c r="E797" s="22" t="n">
        <v>10.45</v>
      </c>
      <c r="F797" s="22" t="n">
        <v>18.17</v>
      </c>
      <c r="G797" s="23" t="n">
        <v>472</v>
      </c>
      <c r="H797" s="23" t="n">
        <v>225</v>
      </c>
      <c r="I797" s="23" t="n">
        <f aca="false">G797-H797</f>
        <v>247</v>
      </c>
      <c r="J797" s="21" t="str">
        <f aca="false">IF(I797&lt;50,"LOW-IN-STOCK","IN-STOCK")</f>
        <v>IN-STOCK</v>
      </c>
      <c r="K797" s="22" t="n">
        <f aca="false">E797*G797</f>
        <v>4932.4</v>
      </c>
      <c r="L797" s="22" t="n">
        <f aca="false">F797*H797</f>
        <v>4088.25</v>
      </c>
      <c r="M797" s="22" t="n">
        <f aca="false">L797-K797</f>
        <v>-844.149999999999</v>
      </c>
    </row>
    <row r="798" customFormat="false" ht="15" hidden="false" customHeight="false" outlineLevel="0" collapsed="false">
      <c r="A798" s="21" t="s">
        <v>967</v>
      </c>
      <c r="B798" s="21" t="s">
        <v>150</v>
      </c>
      <c r="C798" s="21" t="s">
        <v>148</v>
      </c>
      <c r="D798" s="21" t="s">
        <v>80</v>
      </c>
      <c r="E798" s="22" t="n">
        <v>11.71</v>
      </c>
      <c r="F798" s="22" t="n">
        <v>19.09</v>
      </c>
      <c r="G798" s="23" t="n">
        <v>405</v>
      </c>
      <c r="H798" s="23" t="n">
        <v>220</v>
      </c>
      <c r="I798" s="23" t="n">
        <f aca="false">G798-H798</f>
        <v>185</v>
      </c>
      <c r="J798" s="21" t="str">
        <f aca="false">IF(I798&lt;50,"LOW-IN-STOCK","IN-STOCK")</f>
        <v>IN-STOCK</v>
      </c>
      <c r="K798" s="22" t="n">
        <f aca="false">E798*G798</f>
        <v>4742.55</v>
      </c>
      <c r="L798" s="22" t="n">
        <f aca="false">F798*H798</f>
        <v>4199.8</v>
      </c>
      <c r="M798" s="22" t="n">
        <f aca="false">L798-K798</f>
        <v>-542.75</v>
      </c>
    </row>
    <row r="799" customFormat="false" ht="15" hidden="false" customHeight="false" outlineLevel="0" collapsed="false">
      <c r="A799" s="21" t="s">
        <v>968</v>
      </c>
      <c r="B799" s="21" t="s">
        <v>122</v>
      </c>
      <c r="C799" s="21" t="s">
        <v>75</v>
      </c>
      <c r="D799" s="21" t="s">
        <v>160</v>
      </c>
      <c r="E799" s="22" t="n">
        <v>2.41</v>
      </c>
      <c r="F799" s="22" t="n">
        <v>4.51</v>
      </c>
      <c r="G799" s="23" t="n">
        <v>391</v>
      </c>
      <c r="H799" s="23" t="n">
        <v>367</v>
      </c>
      <c r="I799" s="23" t="n">
        <f aca="false">G799-H799</f>
        <v>24</v>
      </c>
      <c r="J799" s="21" t="str">
        <f aca="false">IF(I799&lt;50,"LOW-IN-STOCK","IN-STOCK")</f>
        <v>LOW-IN-STOCK</v>
      </c>
      <c r="K799" s="22" t="n">
        <f aca="false">E799*G799</f>
        <v>942.31</v>
      </c>
      <c r="L799" s="22" t="n">
        <f aca="false">F799*H799</f>
        <v>1655.17</v>
      </c>
      <c r="M799" s="22" t="n">
        <f aca="false">L799-K799</f>
        <v>712.86</v>
      </c>
    </row>
    <row r="800" customFormat="false" ht="15" hidden="false" customHeight="false" outlineLevel="0" collapsed="false">
      <c r="A800" s="21" t="s">
        <v>969</v>
      </c>
      <c r="B800" s="21" t="s">
        <v>106</v>
      </c>
      <c r="C800" s="21" t="s">
        <v>107</v>
      </c>
      <c r="D800" s="21" t="s">
        <v>160</v>
      </c>
      <c r="E800" s="22" t="n">
        <v>14.75</v>
      </c>
      <c r="F800" s="22" t="n">
        <v>26.51</v>
      </c>
      <c r="G800" s="23" t="n">
        <v>349</v>
      </c>
      <c r="H800" s="23" t="n">
        <v>86</v>
      </c>
      <c r="I800" s="23" t="n">
        <f aca="false">G800-H800</f>
        <v>263</v>
      </c>
      <c r="J800" s="21" t="str">
        <f aca="false">IF(I800&lt;50,"LOW-IN-STOCK","IN-STOCK")</f>
        <v>IN-STOCK</v>
      </c>
      <c r="K800" s="22" t="n">
        <f aca="false">E800*G800</f>
        <v>5147.75</v>
      </c>
      <c r="L800" s="22" t="n">
        <f aca="false">F800*H800</f>
        <v>2279.86</v>
      </c>
      <c r="M800" s="22" t="n">
        <f aca="false">L800-K800</f>
        <v>-2867.89</v>
      </c>
    </row>
    <row r="801" customFormat="false" ht="15" hidden="false" customHeight="false" outlineLevel="0" collapsed="false">
      <c r="A801" s="21" t="s">
        <v>970</v>
      </c>
      <c r="B801" s="21" t="s">
        <v>262</v>
      </c>
      <c r="C801" s="21" t="s">
        <v>75</v>
      </c>
      <c r="D801" s="21" t="s">
        <v>102</v>
      </c>
      <c r="E801" s="22" t="n">
        <v>11.64</v>
      </c>
      <c r="F801" s="22" t="n">
        <v>20.14</v>
      </c>
      <c r="G801" s="23" t="n">
        <v>497</v>
      </c>
      <c r="H801" s="23" t="n">
        <v>334</v>
      </c>
      <c r="I801" s="23" t="n">
        <f aca="false">G801-H801</f>
        <v>163</v>
      </c>
      <c r="J801" s="21" t="str">
        <f aca="false">IF(I801&lt;50,"LOW-IN-STOCK","IN-STOCK")</f>
        <v>IN-STOCK</v>
      </c>
      <c r="K801" s="22" t="n">
        <f aca="false">E801*G801</f>
        <v>5785.08</v>
      </c>
      <c r="L801" s="22" t="n">
        <f aca="false">F801*H801</f>
        <v>6726.76</v>
      </c>
      <c r="M801" s="22" t="n">
        <f aca="false">L801-K801</f>
        <v>941.68</v>
      </c>
    </row>
    <row r="802" customFormat="false" ht="15" hidden="false" customHeight="false" outlineLevel="0" collapsed="false">
      <c r="A802" s="21" t="s">
        <v>971</v>
      </c>
      <c r="B802" s="21" t="s">
        <v>143</v>
      </c>
      <c r="C802" s="21" t="s">
        <v>107</v>
      </c>
      <c r="D802" s="21" t="s">
        <v>102</v>
      </c>
      <c r="E802" s="22" t="n">
        <v>0.66</v>
      </c>
      <c r="F802" s="22" t="n">
        <v>1.28</v>
      </c>
      <c r="G802" s="23" t="n">
        <v>443</v>
      </c>
      <c r="H802" s="23" t="n">
        <v>260</v>
      </c>
      <c r="I802" s="23" t="n">
        <f aca="false">G802-H802</f>
        <v>183</v>
      </c>
      <c r="J802" s="21" t="str">
        <f aca="false">IF(I802&lt;50,"LOW-IN-STOCK","IN-STOCK")</f>
        <v>IN-STOCK</v>
      </c>
      <c r="K802" s="22" t="n">
        <f aca="false">E802*G802</f>
        <v>292.38</v>
      </c>
      <c r="L802" s="22" t="n">
        <f aca="false">F802*H802</f>
        <v>332.8</v>
      </c>
      <c r="M802" s="22" t="n">
        <f aca="false">L802-K802</f>
        <v>40.42</v>
      </c>
    </row>
    <row r="803" customFormat="false" ht="15" hidden="false" customHeight="false" outlineLevel="0" collapsed="false">
      <c r="A803" s="21" t="s">
        <v>972</v>
      </c>
      <c r="B803" s="21" t="s">
        <v>287</v>
      </c>
      <c r="C803" s="21" t="s">
        <v>87</v>
      </c>
      <c r="D803" s="21" t="s">
        <v>88</v>
      </c>
      <c r="E803" s="22" t="n">
        <v>6.22</v>
      </c>
      <c r="F803" s="22" t="n">
        <v>11.66</v>
      </c>
      <c r="G803" s="23" t="n">
        <v>215</v>
      </c>
      <c r="H803" s="23" t="n">
        <v>117</v>
      </c>
      <c r="I803" s="23" t="n">
        <f aca="false">G803-H803</f>
        <v>98</v>
      </c>
      <c r="J803" s="21" t="str">
        <f aca="false">IF(I803&lt;50,"LOW-IN-STOCK","IN-STOCK")</f>
        <v>IN-STOCK</v>
      </c>
      <c r="K803" s="22" t="n">
        <f aca="false">E803*G803</f>
        <v>1337.3</v>
      </c>
      <c r="L803" s="22" t="n">
        <f aca="false">F803*H803</f>
        <v>1364.22</v>
      </c>
      <c r="M803" s="22" t="n">
        <f aca="false">L803-K803</f>
        <v>26.9200000000001</v>
      </c>
    </row>
    <row r="804" customFormat="false" ht="15" hidden="false" customHeight="false" outlineLevel="0" collapsed="false">
      <c r="A804" s="21" t="s">
        <v>973</v>
      </c>
      <c r="B804" s="21" t="s">
        <v>132</v>
      </c>
      <c r="C804" s="21" t="s">
        <v>87</v>
      </c>
      <c r="D804" s="21" t="s">
        <v>114</v>
      </c>
      <c r="E804" s="22" t="n">
        <v>16.27</v>
      </c>
      <c r="F804" s="22" t="n">
        <v>25.13</v>
      </c>
      <c r="G804" s="23" t="n">
        <v>373</v>
      </c>
      <c r="H804" s="23" t="n">
        <v>231</v>
      </c>
      <c r="I804" s="23" t="n">
        <f aca="false">G804-H804</f>
        <v>142</v>
      </c>
      <c r="J804" s="21" t="str">
        <f aca="false">IF(I804&lt;50,"LOW-IN-STOCK","IN-STOCK")</f>
        <v>IN-STOCK</v>
      </c>
      <c r="K804" s="22" t="n">
        <f aca="false">E804*G804</f>
        <v>6068.71</v>
      </c>
      <c r="L804" s="22" t="n">
        <f aca="false">F804*H804</f>
        <v>5805.03</v>
      </c>
      <c r="M804" s="22" t="n">
        <f aca="false">L804-K804</f>
        <v>-263.68</v>
      </c>
    </row>
    <row r="805" customFormat="false" ht="15" hidden="false" customHeight="false" outlineLevel="0" collapsed="false">
      <c r="A805" s="21" t="s">
        <v>974</v>
      </c>
      <c r="B805" s="21" t="s">
        <v>235</v>
      </c>
      <c r="C805" s="21" t="s">
        <v>148</v>
      </c>
      <c r="D805" s="21" t="s">
        <v>99</v>
      </c>
      <c r="E805" s="22" t="n">
        <v>38.93</v>
      </c>
      <c r="F805" s="22" t="n">
        <v>84.78</v>
      </c>
      <c r="G805" s="23" t="n">
        <v>220</v>
      </c>
      <c r="H805" s="23" t="n">
        <v>24</v>
      </c>
      <c r="I805" s="23" t="n">
        <f aca="false">G805-H805</f>
        <v>196</v>
      </c>
      <c r="J805" s="21" t="str">
        <f aca="false">IF(I805&lt;50,"LOW-IN-STOCK","IN-STOCK")</f>
        <v>IN-STOCK</v>
      </c>
      <c r="K805" s="22" t="n">
        <f aca="false">E805*G805</f>
        <v>8564.6</v>
      </c>
      <c r="L805" s="22" t="n">
        <f aca="false">F805*H805</f>
        <v>2034.72</v>
      </c>
      <c r="M805" s="22" t="n">
        <f aca="false">L805-K805</f>
        <v>-6529.88</v>
      </c>
    </row>
    <row r="806" customFormat="false" ht="15" hidden="false" customHeight="false" outlineLevel="0" collapsed="false">
      <c r="A806" s="21" t="s">
        <v>975</v>
      </c>
      <c r="B806" s="21" t="s">
        <v>195</v>
      </c>
      <c r="C806" s="21" t="s">
        <v>79</v>
      </c>
      <c r="D806" s="21" t="s">
        <v>108</v>
      </c>
      <c r="E806" s="22" t="n">
        <v>13.31</v>
      </c>
      <c r="F806" s="22" t="n">
        <v>24.5</v>
      </c>
      <c r="G806" s="23" t="n">
        <v>372</v>
      </c>
      <c r="H806" s="23" t="n">
        <v>201</v>
      </c>
      <c r="I806" s="23" t="n">
        <f aca="false">G806-H806</f>
        <v>171</v>
      </c>
      <c r="J806" s="21" t="str">
        <f aca="false">IF(I806&lt;50,"LOW-IN-STOCK","IN-STOCK")</f>
        <v>IN-STOCK</v>
      </c>
      <c r="K806" s="22" t="n">
        <f aca="false">E806*G806</f>
        <v>4951.32</v>
      </c>
      <c r="L806" s="22" t="n">
        <f aca="false">F806*H806</f>
        <v>4924.5</v>
      </c>
      <c r="M806" s="22" t="n">
        <f aca="false">L806-K806</f>
        <v>-26.8200000000006</v>
      </c>
    </row>
    <row r="807" customFormat="false" ht="15" hidden="false" customHeight="false" outlineLevel="0" collapsed="false">
      <c r="A807" s="21" t="s">
        <v>976</v>
      </c>
      <c r="B807" s="21" t="s">
        <v>276</v>
      </c>
      <c r="C807" s="21" t="s">
        <v>83</v>
      </c>
      <c r="D807" s="21" t="s">
        <v>88</v>
      </c>
      <c r="E807" s="22" t="n">
        <v>20.79</v>
      </c>
      <c r="F807" s="22" t="n">
        <v>43.84</v>
      </c>
      <c r="G807" s="23" t="n">
        <v>71</v>
      </c>
      <c r="H807" s="23" t="n">
        <v>57</v>
      </c>
      <c r="I807" s="23" t="n">
        <f aca="false">G807-H807</f>
        <v>14</v>
      </c>
      <c r="J807" s="21" t="str">
        <f aca="false">IF(I807&lt;50,"LOW-IN-STOCK","IN-STOCK")</f>
        <v>LOW-IN-STOCK</v>
      </c>
      <c r="K807" s="22" t="n">
        <f aca="false">E807*G807</f>
        <v>1476.09</v>
      </c>
      <c r="L807" s="22" t="n">
        <f aca="false">F807*H807</f>
        <v>2498.88</v>
      </c>
      <c r="M807" s="22" t="n">
        <f aca="false">L807-K807</f>
        <v>1022.79</v>
      </c>
    </row>
    <row r="808" customFormat="false" ht="15" hidden="false" customHeight="false" outlineLevel="0" collapsed="false">
      <c r="A808" s="21" t="s">
        <v>977</v>
      </c>
      <c r="B808" s="21" t="s">
        <v>186</v>
      </c>
      <c r="C808" s="21" t="s">
        <v>83</v>
      </c>
      <c r="D808" s="21" t="s">
        <v>137</v>
      </c>
      <c r="E808" s="22" t="n">
        <v>22.82</v>
      </c>
      <c r="F808" s="22" t="n">
        <v>34.7</v>
      </c>
      <c r="G808" s="23" t="n">
        <v>293</v>
      </c>
      <c r="H808" s="23" t="n">
        <v>200</v>
      </c>
      <c r="I808" s="23" t="n">
        <f aca="false">G808-H808</f>
        <v>93</v>
      </c>
      <c r="J808" s="21" t="str">
        <f aca="false">IF(I808&lt;50,"LOW-IN-STOCK","IN-STOCK")</f>
        <v>IN-STOCK</v>
      </c>
      <c r="K808" s="22" t="n">
        <f aca="false">E808*G808</f>
        <v>6686.26</v>
      </c>
      <c r="L808" s="22" t="n">
        <f aca="false">F808*H808</f>
        <v>6940</v>
      </c>
      <c r="M808" s="22" t="n">
        <f aca="false">L808-K808</f>
        <v>253.740000000001</v>
      </c>
    </row>
    <row r="809" customFormat="false" ht="15" hidden="false" customHeight="false" outlineLevel="0" collapsed="false">
      <c r="A809" s="21" t="s">
        <v>978</v>
      </c>
      <c r="B809" s="21" t="s">
        <v>164</v>
      </c>
      <c r="C809" s="21" t="s">
        <v>93</v>
      </c>
      <c r="D809" s="21" t="s">
        <v>160</v>
      </c>
      <c r="E809" s="22" t="n">
        <v>2.62</v>
      </c>
      <c r="F809" s="22" t="n">
        <v>5.02</v>
      </c>
      <c r="G809" s="23" t="n">
        <v>161</v>
      </c>
      <c r="H809" s="23" t="n">
        <v>120</v>
      </c>
      <c r="I809" s="23" t="n">
        <f aca="false">G809-H809</f>
        <v>41</v>
      </c>
      <c r="J809" s="21" t="str">
        <f aca="false">IF(I809&lt;50,"LOW-IN-STOCK","IN-STOCK")</f>
        <v>LOW-IN-STOCK</v>
      </c>
      <c r="K809" s="22" t="n">
        <f aca="false">E809*G809</f>
        <v>421.82</v>
      </c>
      <c r="L809" s="22" t="n">
        <f aca="false">F809*H809</f>
        <v>602.4</v>
      </c>
      <c r="M809" s="22" t="n">
        <f aca="false">L809-K809</f>
        <v>180.58</v>
      </c>
    </row>
    <row r="810" customFormat="false" ht="15" hidden="false" customHeight="false" outlineLevel="0" collapsed="false">
      <c r="A810" s="21" t="s">
        <v>979</v>
      </c>
      <c r="B810" s="21" t="s">
        <v>95</v>
      </c>
      <c r="C810" s="21" t="s">
        <v>75</v>
      </c>
      <c r="D810" s="21" t="s">
        <v>114</v>
      </c>
      <c r="E810" s="22" t="n">
        <v>23.24</v>
      </c>
      <c r="F810" s="22" t="n">
        <v>36.06</v>
      </c>
      <c r="G810" s="23" t="n">
        <v>115</v>
      </c>
      <c r="H810" s="23" t="n">
        <v>56</v>
      </c>
      <c r="I810" s="23" t="n">
        <f aca="false">G810-H810</f>
        <v>59</v>
      </c>
      <c r="J810" s="21" t="str">
        <f aca="false">IF(I810&lt;50,"LOW-IN-STOCK","IN-STOCK")</f>
        <v>IN-STOCK</v>
      </c>
      <c r="K810" s="22" t="n">
        <f aca="false">E810*G810</f>
        <v>2672.6</v>
      </c>
      <c r="L810" s="22" t="n">
        <f aca="false">F810*H810</f>
        <v>2019.36</v>
      </c>
      <c r="M810" s="22" t="n">
        <f aca="false">L810-K810</f>
        <v>-653.24</v>
      </c>
    </row>
    <row r="811" customFormat="false" ht="15" hidden="false" customHeight="false" outlineLevel="0" collapsed="false">
      <c r="A811" s="21" t="s">
        <v>980</v>
      </c>
      <c r="B811" s="21" t="s">
        <v>92</v>
      </c>
      <c r="C811" s="21" t="s">
        <v>93</v>
      </c>
      <c r="D811" s="21" t="s">
        <v>102</v>
      </c>
      <c r="E811" s="22" t="n">
        <v>2.59</v>
      </c>
      <c r="F811" s="22" t="n">
        <v>5.19</v>
      </c>
      <c r="G811" s="23" t="n">
        <v>305</v>
      </c>
      <c r="H811" s="23" t="n">
        <v>145</v>
      </c>
      <c r="I811" s="23" t="n">
        <f aca="false">G811-H811</f>
        <v>160</v>
      </c>
      <c r="J811" s="21" t="str">
        <f aca="false">IF(I811&lt;50,"LOW-IN-STOCK","IN-STOCK")</f>
        <v>IN-STOCK</v>
      </c>
      <c r="K811" s="22" t="n">
        <f aca="false">E811*G811</f>
        <v>789.95</v>
      </c>
      <c r="L811" s="22" t="n">
        <f aca="false">F811*H811</f>
        <v>752.55</v>
      </c>
      <c r="M811" s="22" t="n">
        <f aca="false">L811-K811</f>
        <v>-37.3999999999999</v>
      </c>
    </row>
    <row r="812" customFormat="false" ht="15" hidden="false" customHeight="false" outlineLevel="0" collapsed="false">
      <c r="A812" s="21" t="s">
        <v>981</v>
      </c>
      <c r="B812" s="21" t="s">
        <v>136</v>
      </c>
      <c r="C812" s="21" t="s">
        <v>87</v>
      </c>
      <c r="D812" s="21" t="s">
        <v>88</v>
      </c>
      <c r="E812" s="22" t="n">
        <v>17.03</v>
      </c>
      <c r="F812" s="22" t="n">
        <v>31.5</v>
      </c>
      <c r="G812" s="23" t="n">
        <v>457</v>
      </c>
      <c r="H812" s="23" t="n">
        <v>428</v>
      </c>
      <c r="I812" s="23" t="n">
        <f aca="false">G812-H812</f>
        <v>29</v>
      </c>
      <c r="J812" s="21" t="str">
        <f aca="false">IF(I812&lt;50,"LOW-IN-STOCK","IN-STOCK")</f>
        <v>LOW-IN-STOCK</v>
      </c>
      <c r="K812" s="22" t="n">
        <f aca="false">E812*G812</f>
        <v>7782.71</v>
      </c>
      <c r="L812" s="22" t="n">
        <f aca="false">F812*H812</f>
        <v>13482</v>
      </c>
      <c r="M812" s="22" t="n">
        <f aca="false">L812-K812</f>
        <v>5699.29</v>
      </c>
    </row>
    <row r="813" customFormat="false" ht="15" hidden="false" customHeight="false" outlineLevel="0" collapsed="false">
      <c r="A813" s="21" t="s">
        <v>982</v>
      </c>
      <c r="B813" s="21" t="s">
        <v>147</v>
      </c>
      <c r="C813" s="21" t="s">
        <v>148</v>
      </c>
      <c r="D813" s="21" t="s">
        <v>84</v>
      </c>
      <c r="E813" s="22" t="n">
        <v>73.22</v>
      </c>
      <c r="F813" s="22" t="n">
        <v>104.14</v>
      </c>
      <c r="G813" s="23" t="n">
        <v>251</v>
      </c>
      <c r="H813" s="23" t="n">
        <v>65</v>
      </c>
      <c r="I813" s="23" t="n">
        <f aca="false">G813-H813</f>
        <v>186</v>
      </c>
      <c r="J813" s="21" t="str">
        <f aca="false">IF(I813&lt;50,"LOW-IN-STOCK","IN-STOCK")</f>
        <v>IN-STOCK</v>
      </c>
      <c r="K813" s="22" t="n">
        <f aca="false">E813*G813</f>
        <v>18378.22</v>
      </c>
      <c r="L813" s="22" t="n">
        <f aca="false">F813*H813</f>
        <v>6769.1</v>
      </c>
      <c r="M813" s="22" t="n">
        <f aca="false">L813-K813</f>
        <v>-11609.12</v>
      </c>
    </row>
    <row r="814" customFormat="false" ht="15" hidden="false" customHeight="false" outlineLevel="0" collapsed="false">
      <c r="A814" s="21" t="s">
        <v>983</v>
      </c>
      <c r="B814" s="21" t="s">
        <v>116</v>
      </c>
      <c r="C814" s="21" t="s">
        <v>83</v>
      </c>
      <c r="D814" s="21" t="s">
        <v>137</v>
      </c>
      <c r="E814" s="22" t="n">
        <v>18.2</v>
      </c>
      <c r="F814" s="22" t="n">
        <v>28.44</v>
      </c>
      <c r="G814" s="23" t="n">
        <v>204</v>
      </c>
      <c r="H814" s="23" t="n">
        <v>188</v>
      </c>
      <c r="I814" s="23" t="n">
        <f aca="false">G814-H814</f>
        <v>16</v>
      </c>
      <c r="J814" s="21" t="str">
        <f aca="false">IF(I814&lt;50,"LOW-IN-STOCK","IN-STOCK")</f>
        <v>LOW-IN-STOCK</v>
      </c>
      <c r="K814" s="22" t="n">
        <f aca="false">E814*G814</f>
        <v>3712.8</v>
      </c>
      <c r="L814" s="22" t="n">
        <f aca="false">F814*H814</f>
        <v>5346.72</v>
      </c>
      <c r="M814" s="22" t="n">
        <f aca="false">L814-K814</f>
        <v>1633.92</v>
      </c>
    </row>
    <row r="815" customFormat="false" ht="15" hidden="false" customHeight="false" outlineLevel="0" collapsed="false">
      <c r="A815" s="21" t="s">
        <v>984</v>
      </c>
      <c r="B815" s="21" t="s">
        <v>162</v>
      </c>
      <c r="C815" s="21" t="s">
        <v>113</v>
      </c>
      <c r="D815" s="21" t="s">
        <v>102</v>
      </c>
      <c r="E815" s="22" t="n">
        <v>19.19</v>
      </c>
      <c r="F815" s="22" t="n">
        <v>33.35</v>
      </c>
      <c r="G815" s="23" t="n">
        <v>189</v>
      </c>
      <c r="H815" s="23" t="n">
        <v>153</v>
      </c>
      <c r="I815" s="23" t="n">
        <f aca="false">G815-H815</f>
        <v>36</v>
      </c>
      <c r="J815" s="21" t="str">
        <f aca="false">IF(I815&lt;50,"LOW-IN-STOCK","IN-STOCK")</f>
        <v>LOW-IN-STOCK</v>
      </c>
      <c r="K815" s="22" t="n">
        <f aca="false">E815*G815</f>
        <v>3626.91</v>
      </c>
      <c r="L815" s="22" t="n">
        <f aca="false">F815*H815</f>
        <v>5102.55</v>
      </c>
      <c r="M815" s="22" t="n">
        <f aca="false">L815-K815</f>
        <v>1475.64</v>
      </c>
    </row>
    <row r="816" customFormat="false" ht="15" hidden="false" customHeight="false" outlineLevel="0" collapsed="false">
      <c r="A816" s="21" t="s">
        <v>985</v>
      </c>
      <c r="B816" s="21" t="s">
        <v>209</v>
      </c>
      <c r="C816" s="21" t="s">
        <v>107</v>
      </c>
      <c r="D816" s="21" t="s">
        <v>160</v>
      </c>
      <c r="E816" s="22" t="n">
        <v>4.81</v>
      </c>
      <c r="F816" s="22" t="n">
        <v>9.86</v>
      </c>
      <c r="G816" s="23" t="n">
        <v>379</v>
      </c>
      <c r="H816" s="23" t="n">
        <v>212</v>
      </c>
      <c r="I816" s="23" t="n">
        <f aca="false">G816-H816</f>
        <v>167</v>
      </c>
      <c r="J816" s="21" t="str">
        <f aca="false">IF(I816&lt;50,"LOW-IN-STOCK","IN-STOCK")</f>
        <v>IN-STOCK</v>
      </c>
      <c r="K816" s="22" t="n">
        <f aca="false">E816*G816</f>
        <v>1822.99</v>
      </c>
      <c r="L816" s="22" t="n">
        <f aca="false">F816*H816</f>
        <v>2090.32</v>
      </c>
      <c r="M816" s="22" t="n">
        <f aca="false">L816-K816</f>
        <v>267.33</v>
      </c>
    </row>
    <row r="817" customFormat="false" ht="15" hidden="false" customHeight="false" outlineLevel="0" collapsed="false">
      <c r="A817" s="21" t="s">
        <v>986</v>
      </c>
      <c r="B817" s="21" t="s">
        <v>207</v>
      </c>
      <c r="C817" s="21" t="s">
        <v>93</v>
      </c>
      <c r="D817" s="21" t="s">
        <v>80</v>
      </c>
      <c r="E817" s="22" t="n">
        <v>5.71</v>
      </c>
      <c r="F817" s="22" t="n">
        <v>10.97</v>
      </c>
      <c r="G817" s="23" t="n">
        <v>304</v>
      </c>
      <c r="H817" s="23" t="n">
        <v>160</v>
      </c>
      <c r="I817" s="23" t="n">
        <f aca="false">G817-H817</f>
        <v>144</v>
      </c>
      <c r="J817" s="21" t="str">
        <f aca="false">IF(I817&lt;50,"LOW-IN-STOCK","IN-STOCK")</f>
        <v>IN-STOCK</v>
      </c>
      <c r="K817" s="22" t="n">
        <f aca="false">E817*G817</f>
        <v>1735.84</v>
      </c>
      <c r="L817" s="22" t="n">
        <f aca="false">F817*H817</f>
        <v>1755.2</v>
      </c>
      <c r="M817" s="22" t="n">
        <f aca="false">L817-K817</f>
        <v>19.3600000000001</v>
      </c>
    </row>
    <row r="818" customFormat="false" ht="15" hidden="false" customHeight="false" outlineLevel="0" collapsed="false">
      <c r="A818" s="21" t="s">
        <v>987</v>
      </c>
      <c r="B818" s="21" t="s">
        <v>227</v>
      </c>
      <c r="C818" s="21" t="s">
        <v>148</v>
      </c>
      <c r="D818" s="21" t="s">
        <v>84</v>
      </c>
      <c r="E818" s="22" t="n">
        <v>44.31</v>
      </c>
      <c r="F818" s="22" t="n">
        <v>78.21</v>
      </c>
      <c r="G818" s="23" t="n">
        <v>335</v>
      </c>
      <c r="H818" s="23" t="n">
        <v>46</v>
      </c>
      <c r="I818" s="23" t="n">
        <f aca="false">G818-H818</f>
        <v>289</v>
      </c>
      <c r="J818" s="21" t="str">
        <f aca="false">IF(I818&lt;50,"LOW-IN-STOCK","IN-STOCK")</f>
        <v>IN-STOCK</v>
      </c>
      <c r="K818" s="22" t="n">
        <f aca="false">E818*G818</f>
        <v>14843.85</v>
      </c>
      <c r="L818" s="22" t="n">
        <f aca="false">F818*H818</f>
        <v>3597.66</v>
      </c>
      <c r="M818" s="22" t="n">
        <f aca="false">L818-K818</f>
        <v>-11246.19</v>
      </c>
    </row>
    <row r="819" customFormat="false" ht="15" hidden="false" customHeight="false" outlineLevel="0" collapsed="false">
      <c r="A819" s="21" t="s">
        <v>988</v>
      </c>
      <c r="B819" s="21" t="s">
        <v>120</v>
      </c>
      <c r="C819" s="21" t="s">
        <v>107</v>
      </c>
      <c r="D819" s="21" t="s">
        <v>99</v>
      </c>
      <c r="E819" s="22" t="n">
        <v>5.55</v>
      </c>
      <c r="F819" s="22" t="n">
        <v>7.38</v>
      </c>
      <c r="G819" s="23" t="n">
        <v>323</v>
      </c>
      <c r="H819" s="23" t="n">
        <v>156</v>
      </c>
      <c r="I819" s="23" t="n">
        <f aca="false">G819-H819</f>
        <v>167</v>
      </c>
      <c r="J819" s="21" t="str">
        <f aca="false">IF(I819&lt;50,"LOW-IN-STOCK","IN-STOCK")</f>
        <v>IN-STOCK</v>
      </c>
      <c r="K819" s="22" t="n">
        <f aca="false">E819*G819</f>
        <v>1792.65</v>
      </c>
      <c r="L819" s="22" t="n">
        <f aca="false">F819*H819</f>
        <v>1151.28</v>
      </c>
      <c r="M819" s="22" t="n">
        <f aca="false">L819-K819</f>
        <v>-641.37</v>
      </c>
    </row>
    <row r="820" customFormat="false" ht="15" hidden="false" customHeight="false" outlineLevel="0" collapsed="false">
      <c r="A820" s="21" t="s">
        <v>989</v>
      </c>
      <c r="B820" s="21" t="s">
        <v>90</v>
      </c>
      <c r="C820" s="21" t="s">
        <v>75</v>
      </c>
      <c r="D820" s="21" t="s">
        <v>76</v>
      </c>
      <c r="E820" s="22" t="n">
        <v>27.93</v>
      </c>
      <c r="F820" s="22" t="n">
        <v>54.07</v>
      </c>
      <c r="G820" s="23" t="n">
        <v>181</v>
      </c>
      <c r="H820" s="23" t="n">
        <v>148</v>
      </c>
      <c r="I820" s="23" t="n">
        <f aca="false">G820-H820</f>
        <v>33</v>
      </c>
      <c r="J820" s="21" t="str">
        <f aca="false">IF(I820&lt;50,"LOW-IN-STOCK","IN-STOCK")</f>
        <v>LOW-IN-STOCK</v>
      </c>
      <c r="K820" s="22" t="n">
        <f aca="false">E820*G820</f>
        <v>5055.33</v>
      </c>
      <c r="L820" s="22" t="n">
        <f aca="false">F820*H820</f>
        <v>8002.36</v>
      </c>
      <c r="M820" s="22" t="n">
        <f aca="false">L820-K820</f>
        <v>2947.03</v>
      </c>
    </row>
    <row r="821" customFormat="false" ht="15" hidden="false" customHeight="false" outlineLevel="0" collapsed="false">
      <c r="A821" s="21" t="s">
        <v>990</v>
      </c>
      <c r="B821" s="21" t="s">
        <v>411</v>
      </c>
      <c r="C821" s="21" t="s">
        <v>107</v>
      </c>
      <c r="D821" s="21" t="s">
        <v>80</v>
      </c>
      <c r="E821" s="22" t="n">
        <v>7.8</v>
      </c>
      <c r="F821" s="22" t="n">
        <v>13.91</v>
      </c>
      <c r="G821" s="23" t="n">
        <v>25</v>
      </c>
      <c r="H821" s="23" t="n">
        <v>21</v>
      </c>
      <c r="I821" s="23" t="n">
        <f aca="false">G821-H821</f>
        <v>4</v>
      </c>
      <c r="J821" s="21" t="str">
        <f aca="false">IF(I821&lt;50,"LOW-IN-STOCK","IN-STOCK")</f>
        <v>LOW-IN-STOCK</v>
      </c>
      <c r="K821" s="22" t="n">
        <f aca="false">E821*G821</f>
        <v>195</v>
      </c>
      <c r="L821" s="22" t="n">
        <f aca="false">F821*H821</f>
        <v>292.11</v>
      </c>
      <c r="M821" s="22" t="n">
        <f aca="false">L821-K821</f>
        <v>97.11</v>
      </c>
    </row>
    <row r="822" customFormat="false" ht="15" hidden="false" customHeight="false" outlineLevel="0" collapsed="false">
      <c r="A822" s="21" t="s">
        <v>991</v>
      </c>
      <c r="B822" s="21" t="s">
        <v>86</v>
      </c>
      <c r="C822" s="21" t="s">
        <v>87</v>
      </c>
      <c r="D822" s="21" t="s">
        <v>80</v>
      </c>
      <c r="E822" s="22" t="n">
        <v>22.1</v>
      </c>
      <c r="F822" s="22" t="n">
        <v>31.97</v>
      </c>
      <c r="G822" s="23" t="n">
        <v>335</v>
      </c>
      <c r="H822" s="23" t="n">
        <v>80</v>
      </c>
      <c r="I822" s="23" t="n">
        <f aca="false">G822-H822</f>
        <v>255</v>
      </c>
      <c r="J822" s="21" t="str">
        <f aca="false">IF(I822&lt;50,"LOW-IN-STOCK","IN-STOCK")</f>
        <v>IN-STOCK</v>
      </c>
      <c r="K822" s="22" t="n">
        <f aca="false">E822*G822</f>
        <v>7403.5</v>
      </c>
      <c r="L822" s="22" t="n">
        <f aca="false">F822*H822</f>
        <v>2557.6</v>
      </c>
      <c r="M822" s="22" t="n">
        <f aca="false">L822-K822</f>
        <v>-4845.9</v>
      </c>
    </row>
    <row r="823" customFormat="false" ht="15" hidden="false" customHeight="false" outlineLevel="0" collapsed="false">
      <c r="A823" s="21" t="s">
        <v>992</v>
      </c>
      <c r="B823" s="21" t="s">
        <v>235</v>
      </c>
      <c r="C823" s="21" t="s">
        <v>148</v>
      </c>
      <c r="D823" s="21" t="s">
        <v>99</v>
      </c>
      <c r="E823" s="22" t="n">
        <v>29.71</v>
      </c>
      <c r="F823" s="22" t="n">
        <v>46.01</v>
      </c>
      <c r="G823" s="23" t="n">
        <v>234</v>
      </c>
      <c r="H823" s="23" t="n">
        <v>160</v>
      </c>
      <c r="I823" s="23" t="n">
        <f aca="false">G823-H823</f>
        <v>74</v>
      </c>
      <c r="J823" s="21" t="str">
        <f aca="false">IF(I823&lt;50,"LOW-IN-STOCK","IN-STOCK")</f>
        <v>IN-STOCK</v>
      </c>
      <c r="K823" s="22" t="n">
        <f aca="false">E823*G823</f>
        <v>6952.14</v>
      </c>
      <c r="L823" s="22" t="n">
        <f aca="false">F823*H823</f>
        <v>7361.6</v>
      </c>
      <c r="M823" s="22" t="n">
        <f aca="false">L823-K823</f>
        <v>409.459999999999</v>
      </c>
    </row>
    <row r="824" customFormat="false" ht="15" hidden="false" customHeight="false" outlineLevel="0" collapsed="false">
      <c r="A824" s="21" t="s">
        <v>993</v>
      </c>
      <c r="B824" s="21" t="s">
        <v>227</v>
      </c>
      <c r="C824" s="21" t="s">
        <v>148</v>
      </c>
      <c r="D824" s="21" t="s">
        <v>80</v>
      </c>
      <c r="E824" s="22" t="n">
        <v>23.43</v>
      </c>
      <c r="F824" s="22" t="n">
        <v>37.9</v>
      </c>
      <c r="G824" s="23" t="n">
        <v>112</v>
      </c>
      <c r="H824" s="23" t="n">
        <v>92</v>
      </c>
      <c r="I824" s="23" t="n">
        <f aca="false">G824-H824</f>
        <v>20</v>
      </c>
      <c r="J824" s="21" t="str">
        <f aca="false">IF(I824&lt;50,"LOW-IN-STOCK","IN-STOCK")</f>
        <v>LOW-IN-STOCK</v>
      </c>
      <c r="K824" s="22" t="n">
        <f aca="false">E824*G824</f>
        <v>2624.16</v>
      </c>
      <c r="L824" s="22" t="n">
        <f aca="false">F824*H824</f>
        <v>3486.8</v>
      </c>
      <c r="M824" s="22" t="n">
        <f aca="false">L824-K824</f>
        <v>862.64</v>
      </c>
    </row>
    <row r="825" customFormat="false" ht="15" hidden="false" customHeight="false" outlineLevel="0" collapsed="false">
      <c r="A825" s="21" t="s">
        <v>994</v>
      </c>
      <c r="B825" s="21" t="s">
        <v>246</v>
      </c>
      <c r="C825" s="21" t="s">
        <v>75</v>
      </c>
      <c r="D825" s="21" t="s">
        <v>137</v>
      </c>
      <c r="E825" s="22" t="n">
        <v>4.43</v>
      </c>
      <c r="F825" s="22" t="n">
        <v>8.51</v>
      </c>
      <c r="G825" s="23" t="n">
        <v>445</v>
      </c>
      <c r="H825" s="23" t="n">
        <v>198</v>
      </c>
      <c r="I825" s="23" t="n">
        <f aca="false">G825-H825</f>
        <v>247</v>
      </c>
      <c r="J825" s="21" t="str">
        <f aca="false">IF(I825&lt;50,"LOW-IN-STOCK","IN-STOCK")</f>
        <v>IN-STOCK</v>
      </c>
      <c r="K825" s="22" t="n">
        <f aca="false">E825*G825</f>
        <v>1971.35</v>
      </c>
      <c r="L825" s="22" t="n">
        <f aca="false">F825*H825</f>
        <v>1684.98</v>
      </c>
      <c r="M825" s="22" t="n">
        <f aca="false">L825-K825</f>
        <v>-286.37</v>
      </c>
    </row>
    <row r="826" customFormat="false" ht="15" hidden="false" customHeight="false" outlineLevel="0" collapsed="false">
      <c r="A826" s="21" t="s">
        <v>995</v>
      </c>
      <c r="B826" s="21" t="s">
        <v>124</v>
      </c>
      <c r="C826" s="21" t="s">
        <v>79</v>
      </c>
      <c r="D826" s="21" t="s">
        <v>80</v>
      </c>
      <c r="E826" s="22" t="n">
        <v>1.48</v>
      </c>
      <c r="F826" s="22" t="n">
        <v>2.94</v>
      </c>
      <c r="G826" s="23" t="n">
        <v>157</v>
      </c>
      <c r="H826" s="23" t="n">
        <v>47</v>
      </c>
      <c r="I826" s="23" t="n">
        <f aca="false">G826-H826</f>
        <v>110</v>
      </c>
      <c r="J826" s="21" t="str">
        <f aca="false">IF(I826&lt;50,"LOW-IN-STOCK","IN-STOCK")</f>
        <v>IN-STOCK</v>
      </c>
      <c r="K826" s="22" t="n">
        <f aca="false">E826*G826</f>
        <v>232.36</v>
      </c>
      <c r="L826" s="22" t="n">
        <f aca="false">F826*H826</f>
        <v>138.18</v>
      </c>
      <c r="M826" s="22" t="n">
        <f aca="false">L826-K826</f>
        <v>-94.18</v>
      </c>
    </row>
    <row r="827" customFormat="false" ht="15" hidden="false" customHeight="false" outlineLevel="0" collapsed="false">
      <c r="A827" s="21" t="s">
        <v>996</v>
      </c>
      <c r="B827" s="21" t="s">
        <v>152</v>
      </c>
      <c r="C827" s="21" t="s">
        <v>87</v>
      </c>
      <c r="D827" s="21" t="s">
        <v>102</v>
      </c>
      <c r="E827" s="22" t="n">
        <v>7.87</v>
      </c>
      <c r="F827" s="22" t="n">
        <v>16.57</v>
      </c>
      <c r="G827" s="23" t="n">
        <v>298</v>
      </c>
      <c r="H827" s="23" t="n">
        <v>255</v>
      </c>
      <c r="I827" s="23" t="n">
        <f aca="false">G827-H827</f>
        <v>43</v>
      </c>
      <c r="J827" s="21" t="str">
        <f aca="false">IF(I827&lt;50,"LOW-IN-STOCK","IN-STOCK")</f>
        <v>LOW-IN-STOCK</v>
      </c>
      <c r="K827" s="22" t="n">
        <f aca="false">E827*G827</f>
        <v>2345.26</v>
      </c>
      <c r="L827" s="22" t="n">
        <f aca="false">F827*H827</f>
        <v>4225.35</v>
      </c>
      <c r="M827" s="22" t="n">
        <f aca="false">L827-K827</f>
        <v>1880.09</v>
      </c>
    </row>
    <row r="828" customFormat="false" ht="15" hidden="false" customHeight="false" outlineLevel="0" collapsed="false">
      <c r="A828" s="21" t="s">
        <v>997</v>
      </c>
      <c r="B828" s="21" t="s">
        <v>132</v>
      </c>
      <c r="C828" s="21" t="s">
        <v>87</v>
      </c>
      <c r="D828" s="21" t="s">
        <v>84</v>
      </c>
      <c r="E828" s="22" t="n">
        <v>17.67</v>
      </c>
      <c r="F828" s="22" t="n">
        <v>26.49</v>
      </c>
      <c r="G828" s="23" t="n">
        <v>70</v>
      </c>
      <c r="H828" s="23" t="n">
        <v>62</v>
      </c>
      <c r="I828" s="23" t="n">
        <f aca="false">G828-H828</f>
        <v>8</v>
      </c>
      <c r="J828" s="21" t="str">
        <f aca="false">IF(I828&lt;50,"LOW-IN-STOCK","IN-STOCK")</f>
        <v>LOW-IN-STOCK</v>
      </c>
      <c r="K828" s="22" t="n">
        <f aca="false">E828*G828</f>
        <v>1236.9</v>
      </c>
      <c r="L828" s="22" t="n">
        <f aca="false">F828*H828</f>
        <v>1642.38</v>
      </c>
      <c r="M828" s="22" t="n">
        <f aca="false">L828-K828</f>
        <v>405.48</v>
      </c>
    </row>
    <row r="829" customFormat="false" ht="15" hidden="false" customHeight="false" outlineLevel="0" collapsed="false">
      <c r="A829" s="21" t="s">
        <v>998</v>
      </c>
      <c r="B829" s="21" t="s">
        <v>141</v>
      </c>
      <c r="C829" s="21" t="s">
        <v>107</v>
      </c>
      <c r="D829" s="21" t="s">
        <v>137</v>
      </c>
      <c r="E829" s="22" t="n">
        <v>4.37</v>
      </c>
      <c r="F829" s="22" t="n">
        <v>9.6</v>
      </c>
      <c r="G829" s="23" t="n">
        <v>83</v>
      </c>
      <c r="H829" s="23" t="n">
        <v>21</v>
      </c>
      <c r="I829" s="23" t="n">
        <f aca="false">G829-H829</f>
        <v>62</v>
      </c>
      <c r="J829" s="21" t="str">
        <f aca="false">IF(I829&lt;50,"LOW-IN-STOCK","IN-STOCK")</f>
        <v>IN-STOCK</v>
      </c>
      <c r="K829" s="22" t="n">
        <f aca="false">E829*G829</f>
        <v>362.71</v>
      </c>
      <c r="L829" s="22" t="n">
        <f aca="false">F829*H829</f>
        <v>201.6</v>
      </c>
      <c r="M829" s="22" t="n">
        <f aca="false">L829-K829</f>
        <v>-161.11</v>
      </c>
    </row>
    <row r="830" customFormat="false" ht="15" hidden="false" customHeight="false" outlineLevel="0" collapsed="false">
      <c r="A830" s="21" t="s">
        <v>999</v>
      </c>
      <c r="B830" s="21" t="s">
        <v>176</v>
      </c>
      <c r="C830" s="21" t="s">
        <v>83</v>
      </c>
      <c r="D830" s="21" t="s">
        <v>76</v>
      </c>
      <c r="E830" s="22" t="n">
        <v>23.24</v>
      </c>
      <c r="F830" s="22" t="n">
        <v>34.14</v>
      </c>
      <c r="G830" s="23" t="n">
        <v>361</v>
      </c>
      <c r="H830" s="23" t="n">
        <v>234</v>
      </c>
      <c r="I830" s="23" t="n">
        <f aca="false">G830-H830</f>
        <v>127</v>
      </c>
      <c r="J830" s="21" t="str">
        <f aca="false">IF(I830&lt;50,"LOW-IN-STOCK","IN-STOCK")</f>
        <v>IN-STOCK</v>
      </c>
      <c r="K830" s="22" t="n">
        <f aca="false">E830*G830</f>
        <v>8389.64</v>
      </c>
      <c r="L830" s="22" t="n">
        <f aca="false">F830*H830</f>
        <v>7988.76</v>
      </c>
      <c r="M830" s="22" t="n">
        <f aca="false">L830-K830</f>
        <v>-400.879999999999</v>
      </c>
    </row>
    <row r="831" customFormat="false" ht="15" hidden="false" customHeight="false" outlineLevel="0" collapsed="false">
      <c r="A831" s="21" t="s">
        <v>1000</v>
      </c>
      <c r="B831" s="21" t="s">
        <v>150</v>
      </c>
      <c r="C831" s="21" t="s">
        <v>148</v>
      </c>
      <c r="D831" s="21" t="s">
        <v>114</v>
      </c>
      <c r="E831" s="22" t="n">
        <v>78.65</v>
      </c>
      <c r="F831" s="22" t="n">
        <v>130.46</v>
      </c>
      <c r="G831" s="23" t="n">
        <v>297</v>
      </c>
      <c r="H831" s="23" t="n">
        <v>118</v>
      </c>
      <c r="I831" s="23" t="n">
        <f aca="false">G831-H831</f>
        <v>179</v>
      </c>
      <c r="J831" s="21" t="str">
        <f aca="false">IF(I831&lt;50,"LOW-IN-STOCK","IN-STOCK")</f>
        <v>IN-STOCK</v>
      </c>
      <c r="K831" s="22" t="n">
        <f aca="false">E831*G831</f>
        <v>23359.05</v>
      </c>
      <c r="L831" s="22" t="n">
        <f aca="false">F831*H831</f>
        <v>15394.28</v>
      </c>
      <c r="M831" s="22" t="n">
        <f aca="false">L831-K831</f>
        <v>-7964.77</v>
      </c>
    </row>
    <row r="832" customFormat="false" ht="15" hidden="false" customHeight="false" outlineLevel="0" collapsed="false">
      <c r="A832" s="21" t="s">
        <v>1001</v>
      </c>
      <c r="B832" s="21" t="s">
        <v>227</v>
      </c>
      <c r="C832" s="21" t="s">
        <v>148</v>
      </c>
      <c r="D832" s="21" t="s">
        <v>84</v>
      </c>
      <c r="E832" s="22" t="n">
        <v>16.94</v>
      </c>
      <c r="F832" s="22" t="n">
        <v>23.39</v>
      </c>
      <c r="G832" s="23" t="n">
        <v>78</v>
      </c>
      <c r="H832" s="23" t="n">
        <v>71</v>
      </c>
      <c r="I832" s="23" t="n">
        <f aca="false">G832-H832</f>
        <v>7</v>
      </c>
      <c r="J832" s="21" t="str">
        <f aca="false">IF(I832&lt;50,"LOW-IN-STOCK","IN-STOCK")</f>
        <v>LOW-IN-STOCK</v>
      </c>
      <c r="K832" s="22" t="n">
        <f aca="false">E832*G832</f>
        <v>1321.32</v>
      </c>
      <c r="L832" s="22" t="n">
        <f aca="false">F832*H832</f>
        <v>1660.69</v>
      </c>
      <c r="M832" s="22" t="n">
        <f aca="false">L832-K832</f>
        <v>339.37</v>
      </c>
    </row>
    <row r="833" customFormat="false" ht="15" hidden="false" customHeight="false" outlineLevel="0" collapsed="false">
      <c r="A833" s="21" t="s">
        <v>1002</v>
      </c>
      <c r="B833" s="21" t="s">
        <v>229</v>
      </c>
      <c r="C833" s="21" t="s">
        <v>113</v>
      </c>
      <c r="D833" s="21" t="s">
        <v>80</v>
      </c>
      <c r="E833" s="22" t="n">
        <v>12.45</v>
      </c>
      <c r="F833" s="22" t="n">
        <v>17.59</v>
      </c>
      <c r="G833" s="23" t="n">
        <v>226</v>
      </c>
      <c r="H833" s="23" t="n">
        <v>67</v>
      </c>
      <c r="I833" s="23" t="n">
        <f aca="false">G833-H833</f>
        <v>159</v>
      </c>
      <c r="J833" s="21" t="str">
        <f aca="false">IF(I833&lt;50,"LOW-IN-STOCK","IN-STOCK")</f>
        <v>IN-STOCK</v>
      </c>
      <c r="K833" s="22" t="n">
        <f aca="false">E833*G833</f>
        <v>2813.7</v>
      </c>
      <c r="L833" s="22" t="n">
        <f aca="false">F833*H833</f>
        <v>1178.53</v>
      </c>
      <c r="M833" s="22" t="n">
        <f aca="false">L833-K833</f>
        <v>-1635.17</v>
      </c>
    </row>
    <row r="834" customFormat="false" ht="15" hidden="false" customHeight="false" outlineLevel="0" collapsed="false">
      <c r="A834" s="21" t="s">
        <v>1003</v>
      </c>
      <c r="B834" s="21" t="s">
        <v>209</v>
      </c>
      <c r="C834" s="21" t="s">
        <v>107</v>
      </c>
      <c r="D834" s="21" t="s">
        <v>80</v>
      </c>
      <c r="E834" s="22" t="n">
        <v>2.75</v>
      </c>
      <c r="F834" s="22" t="n">
        <v>5.12</v>
      </c>
      <c r="G834" s="23" t="n">
        <v>196</v>
      </c>
      <c r="H834" s="23" t="n">
        <v>55</v>
      </c>
      <c r="I834" s="23" t="n">
        <f aca="false">G834-H834</f>
        <v>141</v>
      </c>
      <c r="J834" s="21" t="str">
        <f aca="false">IF(I834&lt;50,"LOW-IN-STOCK","IN-STOCK")</f>
        <v>IN-STOCK</v>
      </c>
      <c r="K834" s="22" t="n">
        <f aca="false">E834*G834</f>
        <v>539</v>
      </c>
      <c r="L834" s="22" t="n">
        <f aca="false">F834*H834</f>
        <v>281.6</v>
      </c>
      <c r="M834" s="22" t="n">
        <f aca="false">L834-K834</f>
        <v>-257.4</v>
      </c>
    </row>
    <row r="835" customFormat="false" ht="15" hidden="false" customHeight="false" outlineLevel="0" collapsed="false">
      <c r="A835" s="21" t="s">
        <v>1004</v>
      </c>
      <c r="B835" s="21" t="s">
        <v>174</v>
      </c>
      <c r="C835" s="21" t="s">
        <v>113</v>
      </c>
      <c r="D835" s="21" t="s">
        <v>84</v>
      </c>
      <c r="E835" s="22" t="n">
        <v>21.93</v>
      </c>
      <c r="F835" s="22" t="n">
        <v>30.94</v>
      </c>
      <c r="G835" s="23" t="n">
        <v>381</v>
      </c>
      <c r="H835" s="23" t="n">
        <v>143</v>
      </c>
      <c r="I835" s="23" t="n">
        <f aca="false">G835-H835</f>
        <v>238</v>
      </c>
      <c r="J835" s="21" t="str">
        <f aca="false">IF(I835&lt;50,"LOW-IN-STOCK","IN-STOCK")</f>
        <v>IN-STOCK</v>
      </c>
      <c r="K835" s="22" t="n">
        <f aca="false">E835*G835</f>
        <v>8355.33</v>
      </c>
      <c r="L835" s="22" t="n">
        <f aca="false">F835*H835</f>
        <v>4424.42</v>
      </c>
      <c r="M835" s="22" t="n">
        <f aca="false">L835-K835</f>
        <v>-3930.91</v>
      </c>
    </row>
    <row r="836" customFormat="false" ht="15" hidden="false" customHeight="false" outlineLevel="0" collapsed="false">
      <c r="A836" s="21" t="s">
        <v>1005</v>
      </c>
      <c r="B836" s="21" t="s">
        <v>207</v>
      </c>
      <c r="C836" s="21" t="s">
        <v>93</v>
      </c>
      <c r="D836" s="21" t="s">
        <v>137</v>
      </c>
      <c r="E836" s="22" t="n">
        <v>5.53</v>
      </c>
      <c r="F836" s="22" t="n">
        <v>7.51</v>
      </c>
      <c r="G836" s="23" t="n">
        <v>289</v>
      </c>
      <c r="H836" s="23" t="n">
        <v>86</v>
      </c>
      <c r="I836" s="23" t="n">
        <f aca="false">G836-H836</f>
        <v>203</v>
      </c>
      <c r="J836" s="21" t="str">
        <f aca="false">IF(I836&lt;50,"LOW-IN-STOCK","IN-STOCK")</f>
        <v>IN-STOCK</v>
      </c>
      <c r="K836" s="22" t="n">
        <f aca="false">E836*G836</f>
        <v>1598.17</v>
      </c>
      <c r="L836" s="22" t="n">
        <f aca="false">F836*H836</f>
        <v>645.86</v>
      </c>
      <c r="M836" s="22" t="n">
        <f aca="false">L836-K836</f>
        <v>-952.31</v>
      </c>
    </row>
    <row r="837" customFormat="false" ht="15" hidden="false" customHeight="false" outlineLevel="0" collapsed="false">
      <c r="A837" s="21" t="s">
        <v>1006</v>
      </c>
      <c r="B837" s="21" t="s">
        <v>159</v>
      </c>
      <c r="C837" s="21" t="s">
        <v>93</v>
      </c>
      <c r="D837" s="21" t="s">
        <v>102</v>
      </c>
      <c r="E837" s="22" t="n">
        <v>6.23</v>
      </c>
      <c r="F837" s="22" t="n">
        <v>11.35</v>
      </c>
      <c r="G837" s="23" t="n">
        <v>126</v>
      </c>
      <c r="H837" s="23" t="n">
        <v>69</v>
      </c>
      <c r="I837" s="23" t="n">
        <f aca="false">G837-H837</f>
        <v>57</v>
      </c>
      <c r="J837" s="21" t="str">
        <f aca="false">IF(I837&lt;50,"LOW-IN-STOCK","IN-STOCK")</f>
        <v>IN-STOCK</v>
      </c>
      <c r="K837" s="22" t="n">
        <f aca="false">E837*G837</f>
        <v>784.98</v>
      </c>
      <c r="L837" s="22" t="n">
        <f aca="false">F837*H837</f>
        <v>783.15</v>
      </c>
      <c r="M837" s="22" t="n">
        <f aca="false">L837-K837</f>
        <v>-1.83000000000004</v>
      </c>
    </row>
    <row r="838" customFormat="false" ht="15" hidden="false" customHeight="false" outlineLevel="0" collapsed="false">
      <c r="A838" s="21" t="s">
        <v>1007</v>
      </c>
      <c r="B838" s="21" t="s">
        <v>104</v>
      </c>
      <c r="C838" s="21" t="s">
        <v>75</v>
      </c>
      <c r="D838" s="21" t="s">
        <v>80</v>
      </c>
      <c r="E838" s="22" t="n">
        <v>28.02</v>
      </c>
      <c r="F838" s="22" t="n">
        <v>51.32</v>
      </c>
      <c r="G838" s="23" t="n">
        <v>478</v>
      </c>
      <c r="H838" s="23" t="n">
        <v>135</v>
      </c>
      <c r="I838" s="23" t="n">
        <f aca="false">G838-H838</f>
        <v>343</v>
      </c>
      <c r="J838" s="21" t="str">
        <f aca="false">IF(I838&lt;50,"LOW-IN-STOCK","IN-STOCK")</f>
        <v>IN-STOCK</v>
      </c>
      <c r="K838" s="22" t="n">
        <f aca="false">E838*G838</f>
        <v>13393.56</v>
      </c>
      <c r="L838" s="22" t="n">
        <f aca="false">F838*H838</f>
        <v>6928.2</v>
      </c>
      <c r="M838" s="22" t="n">
        <f aca="false">L838-K838</f>
        <v>-6465.36</v>
      </c>
    </row>
    <row r="839" customFormat="false" ht="15" hidden="false" customHeight="false" outlineLevel="0" collapsed="false">
      <c r="A839" s="21" t="s">
        <v>1008</v>
      </c>
      <c r="B839" s="21" t="s">
        <v>124</v>
      </c>
      <c r="C839" s="21" t="s">
        <v>79</v>
      </c>
      <c r="D839" s="21" t="s">
        <v>160</v>
      </c>
      <c r="E839" s="22" t="n">
        <v>5.44</v>
      </c>
      <c r="F839" s="22" t="n">
        <v>8.21</v>
      </c>
      <c r="G839" s="23" t="n">
        <v>108</v>
      </c>
      <c r="H839" s="23" t="n">
        <v>12</v>
      </c>
      <c r="I839" s="23" t="n">
        <f aca="false">G839-H839</f>
        <v>96</v>
      </c>
      <c r="J839" s="21" t="str">
        <f aca="false">IF(I839&lt;50,"LOW-IN-STOCK","IN-STOCK")</f>
        <v>IN-STOCK</v>
      </c>
      <c r="K839" s="22" t="n">
        <f aca="false">E839*G839</f>
        <v>587.52</v>
      </c>
      <c r="L839" s="22" t="n">
        <f aca="false">F839*H839</f>
        <v>98.52</v>
      </c>
      <c r="M839" s="22" t="n">
        <f aca="false">L839-K839</f>
        <v>-489</v>
      </c>
    </row>
    <row r="840" customFormat="false" ht="15" hidden="false" customHeight="false" outlineLevel="0" collapsed="false">
      <c r="A840" s="21" t="s">
        <v>1009</v>
      </c>
      <c r="B840" s="21" t="s">
        <v>82</v>
      </c>
      <c r="C840" s="21" t="s">
        <v>83</v>
      </c>
      <c r="D840" s="21" t="s">
        <v>84</v>
      </c>
      <c r="E840" s="22" t="n">
        <v>16.9</v>
      </c>
      <c r="F840" s="22" t="n">
        <v>30.81</v>
      </c>
      <c r="G840" s="23" t="n">
        <v>22</v>
      </c>
      <c r="H840" s="23" t="n">
        <v>11</v>
      </c>
      <c r="I840" s="23" t="n">
        <f aca="false">G840-H840</f>
        <v>11</v>
      </c>
      <c r="J840" s="21" t="str">
        <f aca="false">IF(I840&lt;50,"LOW-IN-STOCK","IN-STOCK")</f>
        <v>LOW-IN-STOCK</v>
      </c>
      <c r="K840" s="22" t="n">
        <f aca="false">E840*G840</f>
        <v>371.8</v>
      </c>
      <c r="L840" s="22" t="n">
        <f aca="false">F840*H840</f>
        <v>338.91</v>
      </c>
      <c r="M840" s="22" t="n">
        <f aca="false">L840-K840</f>
        <v>-32.89</v>
      </c>
    </row>
    <row r="841" customFormat="false" ht="15" hidden="false" customHeight="false" outlineLevel="0" collapsed="false">
      <c r="A841" s="21" t="s">
        <v>1010</v>
      </c>
      <c r="B841" s="21" t="s">
        <v>112</v>
      </c>
      <c r="C841" s="21" t="s">
        <v>113</v>
      </c>
      <c r="D841" s="21" t="s">
        <v>114</v>
      </c>
      <c r="E841" s="22" t="n">
        <v>15.93</v>
      </c>
      <c r="F841" s="22" t="n">
        <v>30.56</v>
      </c>
      <c r="G841" s="23" t="n">
        <v>366</v>
      </c>
      <c r="H841" s="23" t="n">
        <v>37</v>
      </c>
      <c r="I841" s="23" t="n">
        <f aca="false">G841-H841</f>
        <v>329</v>
      </c>
      <c r="J841" s="21" t="str">
        <f aca="false">IF(I841&lt;50,"LOW-IN-STOCK","IN-STOCK")</f>
        <v>IN-STOCK</v>
      </c>
      <c r="K841" s="22" t="n">
        <f aca="false">E841*G841</f>
        <v>5830.38</v>
      </c>
      <c r="L841" s="22" t="n">
        <f aca="false">F841*H841</f>
        <v>1130.72</v>
      </c>
      <c r="M841" s="22" t="n">
        <f aca="false">L841-K841</f>
        <v>-4699.66</v>
      </c>
    </row>
    <row r="842" customFormat="false" ht="15" hidden="false" customHeight="false" outlineLevel="0" collapsed="false">
      <c r="A842" s="21" t="s">
        <v>1011</v>
      </c>
      <c r="B842" s="21" t="s">
        <v>159</v>
      </c>
      <c r="C842" s="21" t="s">
        <v>93</v>
      </c>
      <c r="D842" s="21" t="s">
        <v>99</v>
      </c>
      <c r="E842" s="22" t="n">
        <v>2.18</v>
      </c>
      <c r="F842" s="22" t="n">
        <v>4.68</v>
      </c>
      <c r="G842" s="23" t="n">
        <v>229</v>
      </c>
      <c r="H842" s="23" t="n">
        <v>98</v>
      </c>
      <c r="I842" s="23" t="n">
        <f aca="false">G842-H842</f>
        <v>131</v>
      </c>
      <c r="J842" s="21" t="str">
        <f aca="false">IF(I842&lt;50,"LOW-IN-STOCK","IN-STOCK")</f>
        <v>IN-STOCK</v>
      </c>
      <c r="K842" s="22" t="n">
        <f aca="false">E842*G842</f>
        <v>499.22</v>
      </c>
      <c r="L842" s="22" t="n">
        <f aca="false">F842*H842</f>
        <v>458.64</v>
      </c>
      <c r="M842" s="22" t="n">
        <f aca="false">L842-K842</f>
        <v>-40.58</v>
      </c>
    </row>
    <row r="843" customFormat="false" ht="15" hidden="false" customHeight="false" outlineLevel="0" collapsed="false">
      <c r="A843" s="21" t="s">
        <v>1012</v>
      </c>
      <c r="B843" s="21" t="s">
        <v>112</v>
      </c>
      <c r="C843" s="21" t="s">
        <v>113</v>
      </c>
      <c r="D843" s="21" t="s">
        <v>80</v>
      </c>
      <c r="E843" s="22" t="n">
        <v>12.67</v>
      </c>
      <c r="F843" s="22" t="n">
        <v>24.7</v>
      </c>
      <c r="G843" s="23" t="n">
        <v>363</v>
      </c>
      <c r="H843" s="23" t="n">
        <v>216</v>
      </c>
      <c r="I843" s="23" t="n">
        <f aca="false">G843-H843</f>
        <v>147</v>
      </c>
      <c r="J843" s="21" t="str">
        <f aca="false">IF(I843&lt;50,"LOW-IN-STOCK","IN-STOCK")</f>
        <v>IN-STOCK</v>
      </c>
      <c r="K843" s="22" t="n">
        <f aca="false">E843*G843</f>
        <v>4599.21</v>
      </c>
      <c r="L843" s="22" t="n">
        <f aca="false">F843*H843</f>
        <v>5335.2</v>
      </c>
      <c r="M843" s="22" t="n">
        <f aca="false">L843-K843</f>
        <v>735.99</v>
      </c>
    </row>
    <row r="844" customFormat="false" ht="15" hidden="false" customHeight="false" outlineLevel="0" collapsed="false">
      <c r="A844" s="21" t="s">
        <v>1013</v>
      </c>
      <c r="B844" s="21" t="s">
        <v>124</v>
      </c>
      <c r="C844" s="21" t="s">
        <v>79</v>
      </c>
      <c r="D844" s="21" t="s">
        <v>76</v>
      </c>
      <c r="E844" s="22" t="n">
        <v>17.37</v>
      </c>
      <c r="F844" s="22" t="n">
        <v>28.83</v>
      </c>
      <c r="G844" s="23" t="n">
        <v>165</v>
      </c>
      <c r="H844" s="23" t="n">
        <v>151</v>
      </c>
      <c r="I844" s="23" t="n">
        <f aca="false">G844-H844</f>
        <v>14</v>
      </c>
      <c r="J844" s="21" t="str">
        <f aca="false">IF(I844&lt;50,"LOW-IN-STOCK","IN-STOCK")</f>
        <v>LOW-IN-STOCK</v>
      </c>
      <c r="K844" s="22" t="n">
        <f aca="false">E844*G844</f>
        <v>2866.05</v>
      </c>
      <c r="L844" s="22" t="n">
        <f aca="false">F844*H844</f>
        <v>4353.33</v>
      </c>
      <c r="M844" s="22" t="n">
        <f aca="false">L844-K844</f>
        <v>1487.28</v>
      </c>
    </row>
    <row r="845" customFormat="false" ht="15" hidden="false" customHeight="false" outlineLevel="0" collapsed="false">
      <c r="A845" s="21" t="s">
        <v>1014</v>
      </c>
      <c r="B845" s="21" t="s">
        <v>101</v>
      </c>
      <c r="C845" s="21" t="s">
        <v>83</v>
      </c>
      <c r="D845" s="21" t="s">
        <v>76</v>
      </c>
      <c r="E845" s="22" t="n">
        <v>16.68</v>
      </c>
      <c r="F845" s="22" t="n">
        <v>30.78</v>
      </c>
      <c r="G845" s="23" t="n">
        <v>454</v>
      </c>
      <c r="H845" s="23" t="n">
        <v>252</v>
      </c>
      <c r="I845" s="23" t="n">
        <f aca="false">G845-H845</f>
        <v>202</v>
      </c>
      <c r="J845" s="21" t="str">
        <f aca="false">IF(I845&lt;50,"LOW-IN-STOCK","IN-STOCK")</f>
        <v>IN-STOCK</v>
      </c>
      <c r="K845" s="22" t="n">
        <f aca="false">E845*G845</f>
        <v>7572.72</v>
      </c>
      <c r="L845" s="22" t="n">
        <f aca="false">F845*H845</f>
        <v>7756.56</v>
      </c>
      <c r="M845" s="22" t="n">
        <f aca="false">L845-K845</f>
        <v>183.84</v>
      </c>
    </row>
    <row r="846" customFormat="false" ht="15" hidden="false" customHeight="false" outlineLevel="0" collapsed="false">
      <c r="A846" s="21" t="s">
        <v>1015</v>
      </c>
      <c r="B846" s="21" t="s">
        <v>239</v>
      </c>
      <c r="C846" s="21" t="s">
        <v>113</v>
      </c>
      <c r="D846" s="21" t="s">
        <v>88</v>
      </c>
      <c r="E846" s="22" t="n">
        <v>9.84</v>
      </c>
      <c r="F846" s="22" t="n">
        <v>20.27</v>
      </c>
      <c r="G846" s="23" t="n">
        <v>41</v>
      </c>
      <c r="H846" s="23" t="n">
        <v>35</v>
      </c>
      <c r="I846" s="23" t="n">
        <f aca="false">G846-H846</f>
        <v>6</v>
      </c>
      <c r="J846" s="21" t="str">
        <f aca="false">IF(I846&lt;50,"LOW-IN-STOCK","IN-STOCK")</f>
        <v>LOW-IN-STOCK</v>
      </c>
      <c r="K846" s="22" t="n">
        <f aca="false">E846*G846</f>
        <v>403.44</v>
      </c>
      <c r="L846" s="22" t="n">
        <f aca="false">F846*H846</f>
        <v>709.45</v>
      </c>
      <c r="M846" s="22" t="n">
        <f aca="false">L846-K846</f>
        <v>306.01</v>
      </c>
    </row>
    <row r="847" customFormat="false" ht="15" hidden="false" customHeight="false" outlineLevel="0" collapsed="false">
      <c r="A847" s="21" t="s">
        <v>1016</v>
      </c>
      <c r="B847" s="21" t="s">
        <v>287</v>
      </c>
      <c r="C847" s="21" t="s">
        <v>87</v>
      </c>
      <c r="D847" s="21" t="s">
        <v>102</v>
      </c>
      <c r="E847" s="22" t="n">
        <v>6.32</v>
      </c>
      <c r="F847" s="22" t="n">
        <v>10.55</v>
      </c>
      <c r="G847" s="23" t="n">
        <v>478</v>
      </c>
      <c r="H847" s="23" t="n">
        <v>103</v>
      </c>
      <c r="I847" s="23" t="n">
        <f aca="false">G847-H847</f>
        <v>375</v>
      </c>
      <c r="J847" s="21" t="str">
        <f aca="false">IF(I847&lt;50,"LOW-IN-STOCK","IN-STOCK")</f>
        <v>IN-STOCK</v>
      </c>
      <c r="K847" s="22" t="n">
        <f aca="false">E847*G847</f>
        <v>3020.96</v>
      </c>
      <c r="L847" s="22" t="n">
        <f aca="false">F847*H847</f>
        <v>1086.65</v>
      </c>
      <c r="M847" s="22" t="n">
        <f aca="false">L847-K847</f>
        <v>-1934.31</v>
      </c>
    </row>
    <row r="848" customFormat="false" ht="15" hidden="false" customHeight="false" outlineLevel="0" collapsed="false">
      <c r="A848" s="21" t="s">
        <v>1017</v>
      </c>
      <c r="B848" s="21" t="s">
        <v>101</v>
      </c>
      <c r="C848" s="21" t="s">
        <v>83</v>
      </c>
      <c r="D848" s="21" t="s">
        <v>76</v>
      </c>
      <c r="E848" s="22" t="n">
        <v>14.88</v>
      </c>
      <c r="F848" s="22" t="n">
        <v>27.54</v>
      </c>
      <c r="G848" s="23" t="n">
        <v>290</v>
      </c>
      <c r="H848" s="23" t="n">
        <v>102</v>
      </c>
      <c r="I848" s="23" t="n">
        <f aca="false">G848-H848</f>
        <v>188</v>
      </c>
      <c r="J848" s="21" t="str">
        <f aca="false">IF(I848&lt;50,"LOW-IN-STOCK","IN-STOCK")</f>
        <v>IN-STOCK</v>
      </c>
      <c r="K848" s="22" t="n">
        <f aca="false">E848*G848</f>
        <v>4315.2</v>
      </c>
      <c r="L848" s="22" t="n">
        <f aca="false">F848*H848</f>
        <v>2809.08</v>
      </c>
      <c r="M848" s="22" t="n">
        <f aca="false">L848-K848</f>
        <v>-1506.12</v>
      </c>
    </row>
    <row r="849" customFormat="false" ht="15" hidden="false" customHeight="false" outlineLevel="0" collapsed="false">
      <c r="A849" s="21" t="s">
        <v>1018</v>
      </c>
      <c r="B849" s="21" t="s">
        <v>207</v>
      </c>
      <c r="C849" s="21" t="s">
        <v>93</v>
      </c>
      <c r="D849" s="21" t="s">
        <v>137</v>
      </c>
      <c r="E849" s="22" t="n">
        <v>1.8</v>
      </c>
      <c r="F849" s="22" t="n">
        <v>2.86</v>
      </c>
      <c r="G849" s="23" t="n">
        <v>267</v>
      </c>
      <c r="H849" s="23" t="n">
        <v>246</v>
      </c>
      <c r="I849" s="23" t="n">
        <f aca="false">G849-H849</f>
        <v>21</v>
      </c>
      <c r="J849" s="21" t="str">
        <f aca="false">IF(I849&lt;50,"LOW-IN-STOCK","IN-STOCK")</f>
        <v>LOW-IN-STOCK</v>
      </c>
      <c r="K849" s="22" t="n">
        <f aca="false">E849*G849</f>
        <v>480.6</v>
      </c>
      <c r="L849" s="22" t="n">
        <f aca="false">F849*H849</f>
        <v>703.56</v>
      </c>
      <c r="M849" s="22" t="n">
        <f aca="false">L849-K849</f>
        <v>222.96</v>
      </c>
    </row>
    <row r="850" customFormat="false" ht="15" hidden="false" customHeight="false" outlineLevel="0" collapsed="false">
      <c r="A850" s="21" t="s">
        <v>1019</v>
      </c>
      <c r="B850" s="21" t="s">
        <v>229</v>
      </c>
      <c r="C850" s="21" t="s">
        <v>113</v>
      </c>
      <c r="D850" s="21" t="s">
        <v>137</v>
      </c>
      <c r="E850" s="22" t="n">
        <v>13.68</v>
      </c>
      <c r="F850" s="22" t="n">
        <v>27.78</v>
      </c>
      <c r="G850" s="23" t="n">
        <v>151</v>
      </c>
      <c r="H850" s="23" t="n">
        <v>69</v>
      </c>
      <c r="I850" s="23" t="n">
        <f aca="false">G850-H850</f>
        <v>82</v>
      </c>
      <c r="J850" s="21" t="str">
        <f aca="false">IF(I850&lt;50,"LOW-IN-STOCK","IN-STOCK")</f>
        <v>IN-STOCK</v>
      </c>
      <c r="K850" s="22" t="n">
        <f aca="false">E850*G850</f>
        <v>2065.68</v>
      </c>
      <c r="L850" s="22" t="n">
        <f aca="false">F850*H850</f>
        <v>1916.82</v>
      </c>
      <c r="M850" s="22" t="n">
        <f aca="false">L850-K850</f>
        <v>-148.86</v>
      </c>
    </row>
    <row r="851" customFormat="false" ht="15" hidden="false" customHeight="false" outlineLevel="0" collapsed="false">
      <c r="A851" s="21" t="s">
        <v>1020</v>
      </c>
      <c r="B851" s="21" t="s">
        <v>224</v>
      </c>
      <c r="C851" s="21" t="s">
        <v>79</v>
      </c>
      <c r="D851" s="21" t="s">
        <v>88</v>
      </c>
      <c r="E851" s="22" t="n">
        <v>11.84</v>
      </c>
      <c r="F851" s="22" t="n">
        <v>25.48</v>
      </c>
      <c r="G851" s="23" t="n">
        <v>154</v>
      </c>
      <c r="H851" s="23" t="n">
        <v>112</v>
      </c>
      <c r="I851" s="23" t="n">
        <f aca="false">G851-H851</f>
        <v>42</v>
      </c>
      <c r="J851" s="21" t="str">
        <f aca="false">IF(I851&lt;50,"LOW-IN-STOCK","IN-STOCK")</f>
        <v>LOW-IN-STOCK</v>
      </c>
      <c r="K851" s="22" t="n">
        <f aca="false">E851*G851</f>
        <v>1823.36</v>
      </c>
      <c r="L851" s="22" t="n">
        <f aca="false">F851*H851</f>
        <v>2853.76</v>
      </c>
      <c r="M851" s="22" t="n">
        <f aca="false">L851-K851</f>
        <v>1030.4</v>
      </c>
    </row>
    <row r="852" customFormat="false" ht="15" hidden="false" customHeight="false" outlineLevel="0" collapsed="false">
      <c r="A852" s="21" t="s">
        <v>1021</v>
      </c>
      <c r="B852" s="21" t="s">
        <v>157</v>
      </c>
      <c r="C852" s="21" t="s">
        <v>113</v>
      </c>
      <c r="D852" s="21" t="s">
        <v>99</v>
      </c>
      <c r="E852" s="22" t="n">
        <v>4.71</v>
      </c>
      <c r="F852" s="22" t="n">
        <v>8.82</v>
      </c>
      <c r="G852" s="23" t="n">
        <v>101</v>
      </c>
      <c r="H852" s="23" t="n">
        <v>62</v>
      </c>
      <c r="I852" s="23" t="n">
        <f aca="false">G852-H852</f>
        <v>39</v>
      </c>
      <c r="J852" s="21" t="str">
        <f aca="false">IF(I852&lt;50,"LOW-IN-STOCK","IN-STOCK")</f>
        <v>LOW-IN-STOCK</v>
      </c>
      <c r="K852" s="22" t="n">
        <f aca="false">E852*G852</f>
        <v>475.71</v>
      </c>
      <c r="L852" s="22" t="n">
        <f aca="false">F852*H852</f>
        <v>546.84</v>
      </c>
      <c r="M852" s="22" t="n">
        <f aca="false">L852-K852</f>
        <v>71.1300000000001</v>
      </c>
    </row>
    <row r="853" customFormat="false" ht="15" hidden="false" customHeight="false" outlineLevel="0" collapsed="false">
      <c r="A853" s="21" t="s">
        <v>1022</v>
      </c>
      <c r="B853" s="21" t="s">
        <v>224</v>
      </c>
      <c r="C853" s="21" t="s">
        <v>79</v>
      </c>
      <c r="D853" s="21" t="s">
        <v>88</v>
      </c>
      <c r="E853" s="22" t="n">
        <v>11.94</v>
      </c>
      <c r="F853" s="22" t="n">
        <v>22.42</v>
      </c>
      <c r="G853" s="23" t="n">
        <v>48</v>
      </c>
      <c r="H853" s="23" t="n">
        <v>8</v>
      </c>
      <c r="I853" s="23" t="n">
        <f aca="false">G853-H853</f>
        <v>40</v>
      </c>
      <c r="J853" s="21" t="str">
        <f aca="false">IF(I853&lt;50,"LOW-IN-STOCK","IN-STOCK")</f>
        <v>LOW-IN-STOCK</v>
      </c>
      <c r="K853" s="22" t="n">
        <f aca="false">E853*G853</f>
        <v>573.12</v>
      </c>
      <c r="L853" s="22" t="n">
        <f aca="false">F853*H853</f>
        <v>179.36</v>
      </c>
      <c r="M853" s="22" t="n">
        <f aca="false">L853-K853</f>
        <v>-393.76</v>
      </c>
    </row>
    <row r="854" customFormat="false" ht="15" hidden="false" customHeight="false" outlineLevel="0" collapsed="false">
      <c r="A854" s="21" t="s">
        <v>1023</v>
      </c>
      <c r="B854" s="21" t="s">
        <v>110</v>
      </c>
      <c r="C854" s="21" t="s">
        <v>93</v>
      </c>
      <c r="D854" s="21" t="s">
        <v>76</v>
      </c>
      <c r="E854" s="22" t="n">
        <v>3.85</v>
      </c>
      <c r="F854" s="22" t="n">
        <v>7.34</v>
      </c>
      <c r="G854" s="23" t="n">
        <v>445</v>
      </c>
      <c r="H854" s="23" t="n">
        <v>54</v>
      </c>
      <c r="I854" s="23" t="n">
        <f aca="false">G854-H854</f>
        <v>391</v>
      </c>
      <c r="J854" s="21" t="str">
        <f aca="false">IF(I854&lt;50,"LOW-IN-STOCK","IN-STOCK")</f>
        <v>IN-STOCK</v>
      </c>
      <c r="K854" s="22" t="n">
        <f aca="false">E854*G854</f>
        <v>1713.25</v>
      </c>
      <c r="L854" s="22" t="n">
        <f aca="false">F854*H854</f>
        <v>396.36</v>
      </c>
      <c r="M854" s="22" t="n">
        <f aca="false">L854-K854</f>
        <v>-1316.89</v>
      </c>
    </row>
    <row r="855" customFormat="false" ht="15" hidden="false" customHeight="false" outlineLevel="0" collapsed="false">
      <c r="A855" s="21" t="s">
        <v>1024</v>
      </c>
      <c r="B855" s="21" t="s">
        <v>311</v>
      </c>
      <c r="C855" s="21" t="s">
        <v>75</v>
      </c>
      <c r="D855" s="21" t="s">
        <v>80</v>
      </c>
      <c r="E855" s="22" t="n">
        <v>7.07</v>
      </c>
      <c r="F855" s="22" t="n">
        <v>14.34</v>
      </c>
      <c r="G855" s="23" t="n">
        <v>418</v>
      </c>
      <c r="H855" s="23" t="n">
        <v>188</v>
      </c>
      <c r="I855" s="23" t="n">
        <f aca="false">G855-H855</f>
        <v>230</v>
      </c>
      <c r="J855" s="21" t="str">
        <f aca="false">IF(I855&lt;50,"LOW-IN-STOCK","IN-STOCK")</f>
        <v>IN-STOCK</v>
      </c>
      <c r="K855" s="22" t="n">
        <f aca="false">E855*G855</f>
        <v>2955.26</v>
      </c>
      <c r="L855" s="22" t="n">
        <f aca="false">F855*H855</f>
        <v>2695.92</v>
      </c>
      <c r="M855" s="22" t="n">
        <f aca="false">L855-K855</f>
        <v>-259.34</v>
      </c>
    </row>
    <row r="856" customFormat="false" ht="15" hidden="false" customHeight="false" outlineLevel="0" collapsed="false">
      <c r="A856" s="21" t="s">
        <v>1025</v>
      </c>
      <c r="B856" s="21" t="s">
        <v>112</v>
      </c>
      <c r="C856" s="21" t="s">
        <v>113</v>
      </c>
      <c r="D856" s="21" t="s">
        <v>76</v>
      </c>
      <c r="E856" s="22" t="n">
        <v>5.43</v>
      </c>
      <c r="F856" s="22" t="n">
        <v>8.13</v>
      </c>
      <c r="G856" s="23" t="n">
        <v>387</v>
      </c>
      <c r="H856" s="23" t="n">
        <v>196</v>
      </c>
      <c r="I856" s="23" t="n">
        <f aca="false">G856-H856</f>
        <v>191</v>
      </c>
      <c r="J856" s="21" t="str">
        <f aca="false">IF(I856&lt;50,"LOW-IN-STOCK","IN-STOCK")</f>
        <v>IN-STOCK</v>
      </c>
      <c r="K856" s="22" t="n">
        <f aca="false">E856*G856</f>
        <v>2101.41</v>
      </c>
      <c r="L856" s="22" t="n">
        <f aca="false">F856*H856</f>
        <v>1593.48</v>
      </c>
      <c r="M856" s="22" t="n">
        <f aca="false">L856-K856</f>
        <v>-507.93</v>
      </c>
    </row>
    <row r="857" customFormat="false" ht="15" hidden="false" customHeight="false" outlineLevel="0" collapsed="false">
      <c r="A857" s="21" t="s">
        <v>1026</v>
      </c>
      <c r="B857" s="21" t="s">
        <v>78</v>
      </c>
      <c r="C857" s="21" t="s">
        <v>79</v>
      </c>
      <c r="D857" s="21" t="s">
        <v>99</v>
      </c>
      <c r="E857" s="22" t="n">
        <v>5.49</v>
      </c>
      <c r="F857" s="22" t="n">
        <v>8.19</v>
      </c>
      <c r="G857" s="23" t="n">
        <v>408</v>
      </c>
      <c r="H857" s="23" t="n">
        <v>265</v>
      </c>
      <c r="I857" s="23" t="n">
        <f aca="false">G857-H857</f>
        <v>143</v>
      </c>
      <c r="J857" s="21" t="str">
        <f aca="false">IF(I857&lt;50,"LOW-IN-STOCK","IN-STOCK")</f>
        <v>IN-STOCK</v>
      </c>
      <c r="K857" s="22" t="n">
        <f aca="false">E857*G857</f>
        <v>2239.92</v>
      </c>
      <c r="L857" s="22" t="n">
        <f aca="false">F857*H857</f>
        <v>2170.35</v>
      </c>
      <c r="M857" s="22" t="n">
        <f aca="false">L857-K857</f>
        <v>-69.5700000000002</v>
      </c>
    </row>
    <row r="858" customFormat="false" ht="15" hidden="false" customHeight="false" outlineLevel="0" collapsed="false">
      <c r="A858" s="21" t="s">
        <v>1027</v>
      </c>
      <c r="B858" s="21" t="s">
        <v>280</v>
      </c>
      <c r="C858" s="21" t="s">
        <v>83</v>
      </c>
      <c r="D858" s="21" t="s">
        <v>114</v>
      </c>
      <c r="E858" s="22" t="n">
        <v>11.81</v>
      </c>
      <c r="F858" s="22" t="n">
        <v>21.63</v>
      </c>
      <c r="G858" s="23" t="n">
        <v>457</v>
      </c>
      <c r="H858" s="23" t="n">
        <v>144</v>
      </c>
      <c r="I858" s="23" t="n">
        <f aca="false">G858-H858</f>
        <v>313</v>
      </c>
      <c r="J858" s="21" t="str">
        <f aca="false">IF(I858&lt;50,"LOW-IN-STOCK","IN-STOCK")</f>
        <v>IN-STOCK</v>
      </c>
      <c r="K858" s="22" t="n">
        <f aca="false">E858*G858</f>
        <v>5397.17</v>
      </c>
      <c r="L858" s="22" t="n">
        <f aca="false">F858*H858</f>
        <v>3114.72</v>
      </c>
      <c r="M858" s="22" t="n">
        <f aca="false">L858-K858</f>
        <v>-2282.45</v>
      </c>
    </row>
    <row r="859" customFormat="false" ht="15" hidden="false" customHeight="false" outlineLevel="0" collapsed="false">
      <c r="A859" s="21" t="s">
        <v>1028</v>
      </c>
      <c r="B859" s="21" t="s">
        <v>308</v>
      </c>
      <c r="C859" s="21" t="s">
        <v>87</v>
      </c>
      <c r="D859" s="21" t="s">
        <v>76</v>
      </c>
      <c r="E859" s="22" t="n">
        <v>23</v>
      </c>
      <c r="F859" s="22" t="n">
        <v>36.14</v>
      </c>
      <c r="G859" s="23" t="n">
        <v>265</v>
      </c>
      <c r="H859" s="23" t="n">
        <v>53</v>
      </c>
      <c r="I859" s="23" t="n">
        <f aca="false">G859-H859</f>
        <v>212</v>
      </c>
      <c r="J859" s="21" t="str">
        <f aca="false">IF(I859&lt;50,"LOW-IN-STOCK","IN-STOCK")</f>
        <v>IN-STOCK</v>
      </c>
      <c r="K859" s="22" t="n">
        <f aca="false">E859*G859</f>
        <v>6095</v>
      </c>
      <c r="L859" s="22" t="n">
        <f aca="false">F859*H859</f>
        <v>1915.42</v>
      </c>
      <c r="M859" s="22" t="n">
        <f aca="false">L859-K859</f>
        <v>-4179.58</v>
      </c>
    </row>
    <row r="860" customFormat="false" ht="15" hidden="false" customHeight="false" outlineLevel="0" collapsed="false">
      <c r="A860" s="21" t="s">
        <v>1029</v>
      </c>
      <c r="B860" s="21" t="s">
        <v>332</v>
      </c>
      <c r="C860" s="21" t="s">
        <v>107</v>
      </c>
      <c r="D860" s="21" t="s">
        <v>102</v>
      </c>
      <c r="E860" s="22" t="n">
        <v>2.52</v>
      </c>
      <c r="F860" s="22" t="n">
        <v>4.26</v>
      </c>
      <c r="G860" s="23" t="n">
        <v>145</v>
      </c>
      <c r="H860" s="23" t="n">
        <v>127</v>
      </c>
      <c r="I860" s="23" t="n">
        <f aca="false">G860-H860</f>
        <v>18</v>
      </c>
      <c r="J860" s="21" t="str">
        <f aca="false">IF(I860&lt;50,"LOW-IN-STOCK","IN-STOCK")</f>
        <v>LOW-IN-STOCK</v>
      </c>
      <c r="K860" s="22" t="n">
        <f aca="false">E860*G860</f>
        <v>365.4</v>
      </c>
      <c r="L860" s="22" t="n">
        <f aca="false">F860*H860</f>
        <v>541.02</v>
      </c>
      <c r="M860" s="22" t="n">
        <f aca="false">L860-K860</f>
        <v>175.62</v>
      </c>
    </row>
    <row r="861" customFormat="false" ht="15" hidden="false" customHeight="false" outlineLevel="0" collapsed="false">
      <c r="A861" s="21" t="s">
        <v>1030</v>
      </c>
      <c r="B861" s="21" t="s">
        <v>154</v>
      </c>
      <c r="C861" s="21" t="s">
        <v>93</v>
      </c>
      <c r="D861" s="21" t="s">
        <v>102</v>
      </c>
      <c r="E861" s="22" t="n">
        <v>3.94</v>
      </c>
      <c r="F861" s="22" t="n">
        <v>6.91</v>
      </c>
      <c r="G861" s="23" t="n">
        <v>407</v>
      </c>
      <c r="H861" s="23" t="n">
        <v>156</v>
      </c>
      <c r="I861" s="23" t="n">
        <f aca="false">G861-H861</f>
        <v>251</v>
      </c>
      <c r="J861" s="21" t="str">
        <f aca="false">IF(I861&lt;50,"LOW-IN-STOCK","IN-STOCK")</f>
        <v>IN-STOCK</v>
      </c>
      <c r="K861" s="22" t="n">
        <f aca="false">E861*G861</f>
        <v>1603.58</v>
      </c>
      <c r="L861" s="22" t="n">
        <f aca="false">F861*H861</f>
        <v>1077.96</v>
      </c>
      <c r="M861" s="22" t="n">
        <f aca="false">L861-K861</f>
        <v>-525.62</v>
      </c>
    </row>
    <row r="862" customFormat="false" ht="15" hidden="false" customHeight="false" outlineLevel="0" collapsed="false">
      <c r="A862" s="21" t="s">
        <v>1031</v>
      </c>
      <c r="B862" s="21" t="s">
        <v>209</v>
      </c>
      <c r="C862" s="21" t="s">
        <v>107</v>
      </c>
      <c r="D862" s="21" t="s">
        <v>84</v>
      </c>
      <c r="E862" s="22" t="n">
        <v>14.24</v>
      </c>
      <c r="F862" s="22" t="n">
        <v>19.17</v>
      </c>
      <c r="G862" s="23" t="n">
        <v>327</v>
      </c>
      <c r="H862" s="23" t="n">
        <v>63</v>
      </c>
      <c r="I862" s="23" t="n">
        <f aca="false">G862-H862</f>
        <v>264</v>
      </c>
      <c r="J862" s="21" t="str">
        <f aca="false">IF(I862&lt;50,"LOW-IN-STOCK","IN-STOCK")</f>
        <v>IN-STOCK</v>
      </c>
      <c r="K862" s="22" t="n">
        <f aca="false">E862*G862</f>
        <v>4656.48</v>
      </c>
      <c r="L862" s="22" t="n">
        <f aca="false">F862*H862</f>
        <v>1207.71</v>
      </c>
      <c r="M862" s="22" t="n">
        <f aca="false">L862-K862</f>
        <v>-3448.77</v>
      </c>
    </row>
    <row r="863" customFormat="false" ht="15" hidden="false" customHeight="false" outlineLevel="0" collapsed="false">
      <c r="A863" s="21" t="s">
        <v>1032</v>
      </c>
      <c r="B863" s="21" t="s">
        <v>359</v>
      </c>
      <c r="C863" s="21" t="s">
        <v>75</v>
      </c>
      <c r="D863" s="21" t="s">
        <v>160</v>
      </c>
      <c r="E863" s="22" t="n">
        <v>24.42</v>
      </c>
      <c r="F863" s="22" t="n">
        <v>44.04</v>
      </c>
      <c r="G863" s="23" t="n">
        <v>497</v>
      </c>
      <c r="H863" s="23" t="n">
        <v>384</v>
      </c>
      <c r="I863" s="23" t="n">
        <f aca="false">G863-H863</f>
        <v>113</v>
      </c>
      <c r="J863" s="21" t="str">
        <f aca="false">IF(I863&lt;50,"LOW-IN-STOCK","IN-STOCK")</f>
        <v>IN-STOCK</v>
      </c>
      <c r="K863" s="22" t="n">
        <f aca="false">E863*G863</f>
        <v>12136.74</v>
      </c>
      <c r="L863" s="22" t="n">
        <f aca="false">F863*H863</f>
        <v>16911.36</v>
      </c>
      <c r="M863" s="22" t="n">
        <f aca="false">L863-K863</f>
        <v>4774.62</v>
      </c>
    </row>
    <row r="864" customFormat="false" ht="15" hidden="false" customHeight="false" outlineLevel="0" collapsed="false">
      <c r="A864" s="21" t="s">
        <v>1033</v>
      </c>
      <c r="B864" s="21" t="s">
        <v>82</v>
      </c>
      <c r="C864" s="21" t="s">
        <v>83</v>
      </c>
      <c r="D864" s="21" t="s">
        <v>76</v>
      </c>
      <c r="E864" s="22" t="n">
        <v>11.43</v>
      </c>
      <c r="F864" s="22" t="n">
        <v>21.94</v>
      </c>
      <c r="G864" s="23" t="n">
        <v>418</v>
      </c>
      <c r="H864" s="23" t="n">
        <v>181</v>
      </c>
      <c r="I864" s="23" t="n">
        <f aca="false">G864-H864</f>
        <v>237</v>
      </c>
      <c r="J864" s="21" t="str">
        <f aca="false">IF(I864&lt;50,"LOW-IN-STOCK","IN-STOCK")</f>
        <v>IN-STOCK</v>
      </c>
      <c r="K864" s="22" t="n">
        <f aca="false">E864*G864</f>
        <v>4777.74</v>
      </c>
      <c r="L864" s="22" t="n">
        <f aca="false">F864*H864</f>
        <v>3971.14</v>
      </c>
      <c r="M864" s="22" t="n">
        <f aca="false">L864-K864</f>
        <v>-806.6</v>
      </c>
    </row>
    <row r="865" customFormat="false" ht="15" hidden="false" customHeight="false" outlineLevel="0" collapsed="false">
      <c r="A865" s="21" t="s">
        <v>1034</v>
      </c>
      <c r="B865" s="21" t="s">
        <v>319</v>
      </c>
      <c r="C865" s="21" t="s">
        <v>113</v>
      </c>
      <c r="D865" s="21" t="s">
        <v>88</v>
      </c>
      <c r="E865" s="22" t="n">
        <v>4.74</v>
      </c>
      <c r="F865" s="22" t="n">
        <v>9.63</v>
      </c>
      <c r="G865" s="23" t="n">
        <v>431</v>
      </c>
      <c r="H865" s="23" t="n">
        <v>337</v>
      </c>
      <c r="I865" s="23" t="n">
        <f aca="false">G865-H865</f>
        <v>94</v>
      </c>
      <c r="J865" s="21" t="str">
        <f aca="false">IF(I865&lt;50,"LOW-IN-STOCK","IN-STOCK")</f>
        <v>IN-STOCK</v>
      </c>
      <c r="K865" s="22" t="n">
        <f aca="false">E865*G865</f>
        <v>2042.94</v>
      </c>
      <c r="L865" s="22" t="n">
        <f aca="false">F865*H865</f>
        <v>3245.31</v>
      </c>
      <c r="M865" s="22" t="n">
        <f aca="false">L865-K865</f>
        <v>1202.37</v>
      </c>
    </row>
    <row r="866" customFormat="false" ht="15" hidden="false" customHeight="false" outlineLevel="0" collapsed="false">
      <c r="A866" s="21" t="s">
        <v>1035</v>
      </c>
      <c r="B866" s="21" t="s">
        <v>116</v>
      </c>
      <c r="C866" s="21" t="s">
        <v>83</v>
      </c>
      <c r="D866" s="21" t="s">
        <v>88</v>
      </c>
      <c r="E866" s="22" t="n">
        <v>11.86</v>
      </c>
      <c r="F866" s="22" t="n">
        <v>24.73</v>
      </c>
      <c r="G866" s="23" t="n">
        <v>323</v>
      </c>
      <c r="H866" s="23" t="n">
        <v>43</v>
      </c>
      <c r="I866" s="23" t="n">
        <f aca="false">G866-H866</f>
        <v>280</v>
      </c>
      <c r="J866" s="21" t="str">
        <f aca="false">IF(I866&lt;50,"LOW-IN-STOCK","IN-STOCK")</f>
        <v>IN-STOCK</v>
      </c>
      <c r="K866" s="22" t="n">
        <f aca="false">E866*G866</f>
        <v>3830.78</v>
      </c>
      <c r="L866" s="22" t="n">
        <f aca="false">F866*H866</f>
        <v>1063.39</v>
      </c>
      <c r="M866" s="22" t="n">
        <f aca="false">L866-K866</f>
        <v>-2767.39</v>
      </c>
    </row>
    <row r="867" customFormat="false" ht="15" hidden="false" customHeight="false" outlineLevel="0" collapsed="false">
      <c r="A867" s="21" t="s">
        <v>1036</v>
      </c>
      <c r="B867" s="21" t="s">
        <v>289</v>
      </c>
      <c r="C867" s="21" t="s">
        <v>148</v>
      </c>
      <c r="D867" s="21" t="s">
        <v>137</v>
      </c>
      <c r="E867" s="22" t="n">
        <v>4.47</v>
      </c>
      <c r="F867" s="22" t="n">
        <v>7.99</v>
      </c>
      <c r="G867" s="23" t="n">
        <v>366</v>
      </c>
      <c r="H867" s="23" t="n">
        <v>130</v>
      </c>
      <c r="I867" s="23" t="n">
        <f aca="false">G867-H867</f>
        <v>236</v>
      </c>
      <c r="J867" s="21" t="str">
        <f aca="false">IF(I867&lt;50,"LOW-IN-STOCK","IN-STOCK")</f>
        <v>IN-STOCK</v>
      </c>
      <c r="K867" s="22" t="n">
        <f aca="false">E867*G867</f>
        <v>1636.02</v>
      </c>
      <c r="L867" s="22" t="n">
        <f aca="false">F867*H867</f>
        <v>1038.7</v>
      </c>
      <c r="M867" s="22" t="n">
        <f aca="false">L867-K867</f>
        <v>-597.32</v>
      </c>
    </row>
    <row r="868" customFormat="false" ht="15" hidden="false" customHeight="false" outlineLevel="0" collapsed="false">
      <c r="A868" s="21" t="s">
        <v>1037</v>
      </c>
      <c r="B868" s="21" t="s">
        <v>145</v>
      </c>
      <c r="C868" s="21" t="s">
        <v>87</v>
      </c>
      <c r="D868" s="21" t="s">
        <v>102</v>
      </c>
      <c r="E868" s="22" t="n">
        <v>18.2</v>
      </c>
      <c r="F868" s="22" t="n">
        <v>35.28</v>
      </c>
      <c r="G868" s="23" t="n">
        <v>460</v>
      </c>
      <c r="H868" s="23" t="n">
        <v>376</v>
      </c>
      <c r="I868" s="23" t="n">
        <f aca="false">G868-H868</f>
        <v>84</v>
      </c>
      <c r="J868" s="21" t="str">
        <f aca="false">IF(I868&lt;50,"LOW-IN-STOCK","IN-STOCK")</f>
        <v>IN-STOCK</v>
      </c>
      <c r="K868" s="22" t="n">
        <f aca="false">E868*G868</f>
        <v>8372</v>
      </c>
      <c r="L868" s="22" t="n">
        <f aca="false">F868*H868</f>
        <v>13265.28</v>
      </c>
      <c r="M868" s="22" t="n">
        <f aca="false">L868-K868</f>
        <v>4893.28</v>
      </c>
    </row>
    <row r="869" customFormat="false" ht="15" hidden="false" customHeight="false" outlineLevel="0" collapsed="false">
      <c r="A869" s="21" t="s">
        <v>1038</v>
      </c>
      <c r="B869" s="21" t="s">
        <v>232</v>
      </c>
      <c r="C869" s="21" t="s">
        <v>79</v>
      </c>
      <c r="D869" s="21" t="s">
        <v>76</v>
      </c>
      <c r="E869" s="22" t="n">
        <v>1.03</v>
      </c>
      <c r="F869" s="22" t="n">
        <v>1.58</v>
      </c>
      <c r="G869" s="23" t="n">
        <v>273</v>
      </c>
      <c r="H869" s="23" t="n">
        <v>179</v>
      </c>
      <c r="I869" s="23" t="n">
        <f aca="false">G869-H869</f>
        <v>94</v>
      </c>
      <c r="J869" s="21" t="str">
        <f aca="false">IF(I869&lt;50,"LOW-IN-STOCK","IN-STOCK")</f>
        <v>IN-STOCK</v>
      </c>
      <c r="K869" s="22" t="n">
        <f aca="false">E869*G869</f>
        <v>281.19</v>
      </c>
      <c r="L869" s="22" t="n">
        <f aca="false">F869*H869</f>
        <v>282.82</v>
      </c>
      <c r="M869" s="22" t="n">
        <f aca="false">L869-K869</f>
        <v>1.63</v>
      </c>
    </row>
    <row r="870" customFormat="false" ht="15" hidden="false" customHeight="false" outlineLevel="0" collapsed="false">
      <c r="A870" s="21" t="s">
        <v>1039</v>
      </c>
      <c r="B870" s="21" t="s">
        <v>101</v>
      </c>
      <c r="C870" s="21" t="s">
        <v>83</v>
      </c>
      <c r="D870" s="21" t="s">
        <v>76</v>
      </c>
      <c r="E870" s="22" t="n">
        <v>8.41</v>
      </c>
      <c r="F870" s="22" t="n">
        <v>12.45</v>
      </c>
      <c r="G870" s="23" t="n">
        <v>361</v>
      </c>
      <c r="H870" s="23" t="n">
        <v>327</v>
      </c>
      <c r="I870" s="23" t="n">
        <f aca="false">G870-H870</f>
        <v>34</v>
      </c>
      <c r="J870" s="21" t="str">
        <f aca="false">IF(I870&lt;50,"LOW-IN-STOCK","IN-STOCK")</f>
        <v>LOW-IN-STOCK</v>
      </c>
      <c r="K870" s="22" t="n">
        <f aca="false">E870*G870</f>
        <v>3036.01</v>
      </c>
      <c r="L870" s="22" t="n">
        <f aca="false">F870*H870</f>
        <v>4071.15</v>
      </c>
      <c r="M870" s="22" t="n">
        <f aca="false">L870-K870</f>
        <v>1035.14</v>
      </c>
    </row>
    <row r="871" customFormat="false" ht="15" hidden="false" customHeight="false" outlineLevel="0" collapsed="false">
      <c r="A871" s="21" t="s">
        <v>1040</v>
      </c>
      <c r="B871" s="21" t="s">
        <v>110</v>
      </c>
      <c r="C871" s="21" t="s">
        <v>93</v>
      </c>
      <c r="D871" s="21" t="s">
        <v>108</v>
      </c>
      <c r="E871" s="22" t="n">
        <v>10.72</v>
      </c>
      <c r="F871" s="22" t="n">
        <v>14.34</v>
      </c>
      <c r="G871" s="23" t="n">
        <v>447</v>
      </c>
      <c r="H871" s="23" t="n">
        <v>227</v>
      </c>
      <c r="I871" s="23" t="n">
        <f aca="false">G871-H871</f>
        <v>220</v>
      </c>
      <c r="J871" s="21" t="str">
        <f aca="false">IF(I871&lt;50,"LOW-IN-STOCK","IN-STOCK")</f>
        <v>IN-STOCK</v>
      </c>
      <c r="K871" s="22" t="n">
        <f aca="false">E871*G871</f>
        <v>4791.84</v>
      </c>
      <c r="L871" s="22" t="n">
        <f aca="false">F871*H871</f>
        <v>3255.18</v>
      </c>
      <c r="M871" s="22" t="n">
        <f aca="false">L871-K871</f>
        <v>-1536.66</v>
      </c>
    </row>
    <row r="872" customFormat="false" ht="15" hidden="false" customHeight="false" outlineLevel="0" collapsed="false">
      <c r="A872" s="21" t="s">
        <v>1041</v>
      </c>
      <c r="B872" s="21" t="s">
        <v>184</v>
      </c>
      <c r="C872" s="21" t="s">
        <v>148</v>
      </c>
      <c r="D872" s="21" t="s">
        <v>99</v>
      </c>
      <c r="E872" s="22" t="n">
        <v>30.85</v>
      </c>
      <c r="F872" s="22" t="n">
        <v>55.56</v>
      </c>
      <c r="G872" s="23" t="n">
        <v>130</v>
      </c>
      <c r="H872" s="23" t="n">
        <v>84</v>
      </c>
      <c r="I872" s="23" t="n">
        <f aca="false">G872-H872</f>
        <v>46</v>
      </c>
      <c r="J872" s="21" t="str">
        <f aca="false">IF(I872&lt;50,"LOW-IN-STOCK","IN-STOCK")</f>
        <v>LOW-IN-STOCK</v>
      </c>
      <c r="K872" s="22" t="n">
        <f aca="false">E872*G872</f>
        <v>4010.5</v>
      </c>
      <c r="L872" s="22" t="n">
        <f aca="false">F872*H872</f>
        <v>4667.04</v>
      </c>
      <c r="M872" s="22" t="n">
        <f aca="false">L872-K872</f>
        <v>656.54</v>
      </c>
    </row>
    <row r="873" customFormat="false" ht="15" hidden="false" customHeight="false" outlineLevel="0" collapsed="false">
      <c r="A873" s="21" t="s">
        <v>1042</v>
      </c>
      <c r="B873" s="21" t="s">
        <v>276</v>
      </c>
      <c r="C873" s="21" t="s">
        <v>83</v>
      </c>
      <c r="D873" s="21" t="s">
        <v>99</v>
      </c>
      <c r="E873" s="22" t="n">
        <v>21.06</v>
      </c>
      <c r="F873" s="22" t="n">
        <v>42.71</v>
      </c>
      <c r="G873" s="23" t="n">
        <v>95</v>
      </c>
      <c r="H873" s="23" t="n">
        <v>45</v>
      </c>
      <c r="I873" s="23" t="n">
        <f aca="false">G873-H873</f>
        <v>50</v>
      </c>
      <c r="J873" s="21" t="str">
        <f aca="false">IF(I873&lt;50,"LOW-IN-STOCK","IN-STOCK")</f>
        <v>IN-STOCK</v>
      </c>
      <c r="K873" s="22" t="n">
        <f aca="false">E873*G873</f>
        <v>2000.7</v>
      </c>
      <c r="L873" s="22" t="n">
        <f aca="false">F873*H873</f>
        <v>1921.95</v>
      </c>
      <c r="M873" s="22" t="n">
        <f aca="false">L873-K873</f>
        <v>-78.7499999999998</v>
      </c>
    </row>
    <row r="874" customFormat="false" ht="15" hidden="false" customHeight="false" outlineLevel="0" collapsed="false">
      <c r="A874" s="21" t="s">
        <v>1043</v>
      </c>
      <c r="B874" s="21" t="s">
        <v>276</v>
      </c>
      <c r="C874" s="21" t="s">
        <v>83</v>
      </c>
      <c r="D874" s="21" t="s">
        <v>108</v>
      </c>
      <c r="E874" s="22" t="n">
        <v>12.99</v>
      </c>
      <c r="F874" s="22" t="n">
        <v>22.83</v>
      </c>
      <c r="G874" s="23" t="n">
        <v>484</v>
      </c>
      <c r="H874" s="23" t="n">
        <v>130</v>
      </c>
      <c r="I874" s="23" t="n">
        <f aca="false">G874-H874</f>
        <v>354</v>
      </c>
      <c r="J874" s="21" t="str">
        <f aca="false">IF(I874&lt;50,"LOW-IN-STOCK","IN-STOCK")</f>
        <v>IN-STOCK</v>
      </c>
      <c r="K874" s="22" t="n">
        <f aca="false">E874*G874</f>
        <v>6287.16</v>
      </c>
      <c r="L874" s="22" t="n">
        <f aca="false">F874*H874</f>
        <v>2967.9</v>
      </c>
      <c r="M874" s="22" t="n">
        <f aca="false">L874-K874</f>
        <v>-3319.26</v>
      </c>
    </row>
    <row r="875" customFormat="false" ht="15" hidden="false" customHeight="false" outlineLevel="0" collapsed="false">
      <c r="A875" s="21" t="s">
        <v>1044</v>
      </c>
      <c r="B875" s="21" t="s">
        <v>250</v>
      </c>
      <c r="C875" s="21" t="s">
        <v>79</v>
      </c>
      <c r="D875" s="21" t="s">
        <v>108</v>
      </c>
      <c r="E875" s="22" t="n">
        <v>17.16</v>
      </c>
      <c r="F875" s="22" t="n">
        <v>32.72</v>
      </c>
      <c r="G875" s="23" t="n">
        <v>247</v>
      </c>
      <c r="H875" s="23" t="n">
        <v>47</v>
      </c>
      <c r="I875" s="23" t="n">
        <f aca="false">G875-H875</f>
        <v>200</v>
      </c>
      <c r="J875" s="21" t="str">
        <f aca="false">IF(I875&lt;50,"LOW-IN-STOCK","IN-STOCK")</f>
        <v>IN-STOCK</v>
      </c>
      <c r="K875" s="22" t="n">
        <f aca="false">E875*G875</f>
        <v>4238.52</v>
      </c>
      <c r="L875" s="22" t="n">
        <f aca="false">F875*H875</f>
        <v>1537.84</v>
      </c>
      <c r="M875" s="22" t="n">
        <f aca="false">L875-K875</f>
        <v>-2700.68</v>
      </c>
    </row>
    <row r="876" customFormat="false" ht="15" hidden="false" customHeight="false" outlineLevel="0" collapsed="false">
      <c r="A876" s="21" t="s">
        <v>1045</v>
      </c>
      <c r="B876" s="21" t="s">
        <v>162</v>
      </c>
      <c r="C876" s="21" t="s">
        <v>113</v>
      </c>
      <c r="D876" s="21" t="s">
        <v>137</v>
      </c>
      <c r="E876" s="22" t="n">
        <v>18.28</v>
      </c>
      <c r="F876" s="22" t="n">
        <v>33.93</v>
      </c>
      <c r="G876" s="23" t="n">
        <v>374</v>
      </c>
      <c r="H876" s="23" t="n">
        <v>240</v>
      </c>
      <c r="I876" s="23" t="n">
        <f aca="false">G876-H876</f>
        <v>134</v>
      </c>
      <c r="J876" s="21" t="str">
        <f aca="false">IF(I876&lt;50,"LOW-IN-STOCK","IN-STOCK")</f>
        <v>IN-STOCK</v>
      </c>
      <c r="K876" s="22" t="n">
        <f aca="false">E876*G876</f>
        <v>6836.72</v>
      </c>
      <c r="L876" s="22" t="n">
        <f aca="false">F876*H876</f>
        <v>8143.2</v>
      </c>
      <c r="M876" s="22" t="n">
        <f aca="false">L876-K876</f>
        <v>1306.48</v>
      </c>
    </row>
    <row r="877" customFormat="false" ht="15" hidden="false" customHeight="false" outlineLevel="0" collapsed="false">
      <c r="A877" s="21" t="s">
        <v>1046</v>
      </c>
      <c r="B877" s="21" t="s">
        <v>311</v>
      </c>
      <c r="C877" s="21" t="s">
        <v>75</v>
      </c>
      <c r="D877" s="21" t="s">
        <v>102</v>
      </c>
      <c r="E877" s="22" t="n">
        <v>10.5</v>
      </c>
      <c r="F877" s="22" t="n">
        <v>15.85</v>
      </c>
      <c r="G877" s="23" t="n">
        <v>426</v>
      </c>
      <c r="H877" s="23" t="n">
        <v>292</v>
      </c>
      <c r="I877" s="23" t="n">
        <f aca="false">G877-H877</f>
        <v>134</v>
      </c>
      <c r="J877" s="21" t="str">
        <f aca="false">IF(I877&lt;50,"LOW-IN-STOCK","IN-STOCK")</f>
        <v>IN-STOCK</v>
      </c>
      <c r="K877" s="22" t="n">
        <f aca="false">E877*G877</f>
        <v>4473</v>
      </c>
      <c r="L877" s="22" t="n">
        <f aca="false">F877*H877</f>
        <v>4628.2</v>
      </c>
      <c r="M877" s="22" t="n">
        <f aca="false">L877-K877</f>
        <v>155.2</v>
      </c>
    </row>
    <row r="878" customFormat="false" ht="15" hidden="false" customHeight="false" outlineLevel="0" collapsed="false">
      <c r="A878" s="21" t="s">
        <v>1047</v>
      </c>
      <c r="B878" s="21" t="s">
        <v>250</v>
      </c>
      <c r="C878" s="21" t="s">
        <v>79</v>
      </c>
      <c r="D878" s="21" t="s">
        <v>84</v>
      </c>
      <c r="E878" s="22" t="n">
        <v>13.33</v>
      </c>
      <c r="F878" s="22" t="n">
        <v>24.48</v>
      </c>
      <c r="G878" s="23" t="n">
        <v>382</v>
      </c>
      <c r="H878" s="23" t="n">
        <v>231</v>
      </c>
      <c r="I878" s="23" t="n">
        <f aca="false">G878-H878</f>
        <v>151</v>
      </c>
      <c r="J878" s="21" t="str">
        <f aca="false">IF(I878&lt;50,"LOW-IN-STOCK","IN-STOCK")</f>
        <v>IN-STOCK</v>
      </c>
      <c r="K878" s="22" t="n">
        <f aca="false">E878*G878</f>
        <v>5092.06</v>
      </c>
      <c r="L878" s="22" t="n">
        <f aca="false">F878*H878</f>
        <v>5654.88</v>
      </c>
      <c r="M878" s="22" t="n">
        <f aca="false">L878-K878</f>
        <v>562.82</v>
      </c>
    </row>
    <row r="879" customFormat="false" ht="15" hidden="false" customHeight="false" outlineLevel="0" collapsed="false">
      <c r="A879" s="21" t="s">
        <v>1048</v>
      </c>
      <c r="B879" s="21" t="s">
        <v>176</v>
      </c>
      <c r="C879" s="21" t="s">
        <v>83</v>
      </c>
      <c r="D879" s="21" t="s">
        <v>114</v>
      </c>
      <c r="E879" s="22" t="n">
        <v>13.4</v>
      </c>
      <c r="F879" s="22" t="n">
        <v>28.1</v>
      </c>
      <c r="G879" s="23" t="n">
        <v>118</v>
      </c>
      <c r="H879" s="23" t="n">
        <v>104</v>
      </c>
      <c r="I879" s="23" t="n">
        <f aca="false">G879-H879</f>
        <v>14</v>
      </c>
      <c r="J879" s="21" t="str">
        <f aca="false">IF(I879&lt;50,"LOW-IN-STOCK","IN-STOCK")</f>
        <v>LOW-IN-STOCK</v>
      </c>
      <c r="K879" s="22" t="n">
        <f aca="false">E879*G879</f>
        <v>1581.2</v>
      </c>
      <c r="L879" s="22" t="n">
        <f aca="false">F879*H879</f>
        <v>2922.4</v>
      </c>
      <c r="M879" s="22" t="n">
        <f aca="false">L879-K879</f>
        <v>1341.2</v>
      </c>
    </row>
    <row r="880" customFormat="false" ht="15" hidden="false" customHeight="false" outlineLevel="0" collapsed="false">
      <c r="A880" s="21" t="s">
        <v>1049</v>
      </c>
      <c r="B880" s="21" t="s">
        <v>306</v>
      </c>
      <c r="C880" s="21" t="s">
        <v>93</v>
      </c>
      <c r="D880" s="21" t="s">
        <v>102</v>
      </c>
      <c r="E880" s="22" t="n">
        <v>8.65</v>
      </c>
      <c r="F880" s="22" t="n">
        <v>15.99</v>
      </c>
      <c r="G880" s="23" t="n">
        <v>347</v>
      </c>
      <c r="H880" s="23" t="n">
        <v>64</v>
      </c>
      <c r="I880" s="23" t="n">
        <f aca="false">G880-H880</f>
        <v>283</v>
      </c>
      <c r="J880" s="21" t="str">
        <f aca="false">IF(I880&lt;50,"LOW-IN-STOCK","IN-STOCK")</f>
        <v>IN-STOCK</v>
      </c>
      <c r="K880" s="22" t="n">
        <f aca="false">E880*G880</f>
        <v>3001.55</v>
      </c>
      <c r="L880" s="22" t="n">
        <f aca="false">F880*H880</f>
        <v>1023.36</v>
      </c>
      <c r="M880" s="22" t="n">
        <f aca="false">L880-K880</f>
        <v>-1978.19</v>
      </c>
    </row>
    <row r="881" customFormat="false" ht="15" hidden="false" customHeight="false" outlineLevel="0" collapsed="false">
      <c r="A881" s="21" t="s">
        <v>1050</v>
      </c>
      <c r="B881" s="21" t="s">
        <v>164</v>
      </c>
      <c r="C881" s="21" t="s">
        <v>93</v>
      </c>
      <c r="D881" s="21" t="s">
        <v>80</v>
      </c>
      <c r="E881" s="22" t="n">
        <v>4.54</v>
      </c>
      <c r="F881" s="22" t="n">
        <v>6.49</v>
      </c>
      <c r="G881" s="23" t="n">
        <v>242</v>
      </c>
      <c r="H881" s="23" t="n">
        <v>197</v>
      </c>
      <c r="I881" s="23" t="n">
        <f aca="false">G881-H881</f>
        <v>45</v>
      </c>
      <c r="J881" s="21" t="str">
        <f aca="false">IF(I881&lt;50,"LOW-IN-STOCK","IN-STOCK")</f>
        <v>LOW-IN-STOCK</v>
      </c>
      <c r="K881" s="22" t="n">
        <f aca="false">E881*G881</f>
        <v>1098.68</v>
      </c>
      <c r="L881" s="22" t="n">
        <f aca="false">F881*H881</f>
        <v>1278.53</v>
      </c>
      <c r="M881" s="22" t="n">
        <f aca="false">L881-K881</f>
        <v>179.85</v>
      </c>
    </row>
    <row r="882" customFormat="false" ht="15" hidden="false" customHeight="false" outlineLevel="0" collapsed="false">
      <c r="A882" s="21" t="s">
        <v>1051</v>
      </c>
      <c r="B882" s="21" t="s">
        <v>383</v>
      </c>
      <c r="C882" s="21" t="s">
        <v>87</v>
      </c>
      <c r="D882" s="21" t="s">
        <v>137</v>
      </c>
      <c r="E882" s="22" t="n">
        <v>2.5</v>
      </c>
      <c r="F882" s="22" t="n">
        <v>4.59</v>
      </c>
      <c r="G882" s="23" t="n">
        <v>355</v>
      </c>
      <c r="H882" s="23" t="n">
        <v>156</v>
      </c>
      <c r="I882" s="23" t="n">
        <f aca="false">G882-H882</f>
        <v>199</v>
      </c>
      <c r="J882" s="21" t="str">
        <f aca="false">IF(I882&lt;50,"LOW-IN-STOCK","IN-STOCK")</f>
        <v>IN-STOCK</v>
      </c>
      <c r="K882" s="22" t="n">
        <f aca="false">E882*G882</f>
        <v>887.5</v>
      </c>
      <c r="L882" s="22" t="n">
        <f aca="false">F882*H882</f>
        <v>716.04</v>
      </c>
      <c r="M882" s="22" t="n">
        <f aca="false">L882-K882</f>
        <v>-171.46</v>
      </c>
    </row>
    <row r="883" customFormat="false" ht="15" hidden="false" customHeight="false" outlineLevel="0" collapsed="false">
      <c r="A883" s="21" t="s">
        <v>1052</v>
      </c>
      <c r="B883" s="21" t="s">
        <v>104</v>
      </c>
      <c r="C883" s="21" t="s">
        <v>75</v>
      </c>
      <c r="D883" s="21" t="s">
        <v>76</v>
      </c>
      <c r="E883" s="22" t="n">
        <v>19.35</v>
      </c>
      <c r="F883" s="22" t="n">
        <v>41.71</v>
      </c>
      <c r="G883" s="23" t="n">
        <v>299</v>
      </c>
      <c r="H883" s="23" t="n">
        <v>185</v>
      </c>
      <c r="I883" s="23" t="n">
        <f aca="false">G883-H883</f>
        <v>114</v>
      </c>
      <c r="J883" s="21" t="str">
        <f aca="false">IF(I883&lt;50,"LOW-IN-STOCK","IN-STOCK")</f>
        <v>IN-STOCK</v>
      </c>
      <c r="K883" s="22" t="n">
        <f aca="false">E883*G883</f>
        <v>5785.65</v>
      </c>
      <c r="L883" s="22" t="n">
        <f aca="false">F883*H883</f>
        <v>7716.35</v>
      </c>
      <c r="M883" s="22" t="n">
        <f aca="false">L883-K883</f>
        <v>1930.7</v>
      </c>
    </row>
    <row r="884" customFormat="false" ht="15" hidden="false" customHeight="false" outlineLevel="0" collapsed="false">
      <c r="A884" s="21" t="s">
        <v>1053</v>
      </c>
      <c r="B884" s="21" t="s">
        <v>204</v>
      </c>
      <c r="C884" s="21" t="s">
        <v>148</v>
      </c>
      <c r="D884" s="21" t="s">
        <v>84</v>
      </c>
      <c r="E884" s="22" t="n">
        <v>33.92</v>
      </c>
      <c r="F884" s="22" t="n">
        <v>61.59</v>
      </c>
      <c r="G884" s="23" t="n">
        <v>291</v>
      </c>
      <c r="H884" s="23" t="n">
        <v>220</v>
      </c>
      <c r="I884" s="23" t="n">
        <f aca="false">G884-H884</f>
        <v>71</v>
      </c>
      <c r="J884" s="21" t="str">
        <f aca="false">IF(I884&lt;50,"LOW-IN-STOCK","IN-STOCK")</f>
        <v>IN-STOCK</v>
      </c>
      <c r="K884" s="22" t="n">
        <f aca="false">E884*G884</f>
        <v>9870.72</v>
      </c>
      <c r="L884" s="22" t="n">
        <f aca="false">F884*H884</f>
        <v>13549.8</v>
      </c>
      <c r="M884" s="22" t="n">
        <f aca="false">L884-K884</f>
        <v>3679.08</v>
      </c>
    </row>
    <row r="885" customFormat="false" ht="15" hidden="false" customHeight="false" outlineLevel="0" collapsed="false">
      <c r="A885" s="21" t="s">
        <v>1054</v>
      </c>
      <c r="B885" s="21" t="s">
        <v>145</v>
      </c>
      <c r="C885" s="21" t="s">
        <v>87</v>
      </c>
      <c r="D885" s="21" t="s">
        <v>88</v>
      </c>
      <c r="E885" s="22" t="n">
        <v>23.79</v>
      </c>
      <c r="F885" s="22" t="n">
        <v>51.96</v>
      </c>
      <c r="G885" s="23" t="n">
        <v>326</v>
      </c>
      <c r="H885" s="23" t="n">
        <v>122</v>
      </c>
      <c r="I885" s="23" t="n">
        <f aca="false">G885-H885</f>
        <v>204</v>
      </c>
      <c r="J885" s="21" t="str">
        <f aca="false">IF(I885&lt;50,"LOW-IN-STOCK","IN-STOCK")</f>
        <v>IN-STOCK</v>
      </c>
      <c r="K885" s="22" t="n">
        <f aca="false">E885*G885</f>
        <v>7755.54</v>
      </c>
      <c r="L885" s="22" t="n">
        <f aca="false">F885*H885</f>
        <v>6339.12</v>
      </c>
      <c r="M885" s="22" t="n">
        <f aca="false">L885-K885</f>
        <v>-1416.42</v>
      </c>
    </row>
    <row r="886" customFormat="false" ht="15" hidden="false" customHeight="false" outlineLevel="0" collapsed="false">
      <c r="A886" s="21" t="s">
        <v>1055</v>
      </c>
      <c r="B886" s="21" t="s">
        <v>211</v>
      </c>
      <c r="C886" s="21" t="s">
        <v>113</v>
      </c>
      <c r="D886" s="21" t="s">
        <v>102</v>
      </c>
      <c r="E886" s="22" t="n">
        <v>20.23</v>
      </c>
      <c r="F886" s="22" t="n">
        <v>43.8</v>
      </c>
      <c r="G886" s="23" t="n">
        <v>347</v>
      </c>
      <c r="H886" s="23" t="n">
        <v>134</v>
      </c>
      <c r="I886" s="23" t="n">
        <f aca="false">G886-H886</f>
        <v>213</v>
      </c>
      <c r="J886" s="21" t="str">
        <f aca="false">IF(I886&lt;50,"LOW-IN-STOCK","IN-STOCK")</f>
        <v>IN-STOCK</v>
      </c>
      <c r="K886" s="22" t="n">
        <f aca="false">E886*G886</f>
        <v>7019.81</v>
      </c>
      <c r="L886" s="22" t="n">
        <f aca="false">F886*H886</f>
        <v>5869.2</v>
      </c>
      <c r="M886" s="22" t="n">
        <f aca="false">L886-K886</f>
        <v>-1150.61</v>
      </c>
    </row>
    <row r="887" customFormat="false" ht="15" hidden="false" customHeight="false" outlineLevel="0" collapsed="false">
      <c r="A887" s="21" t="s">
        <v>1056</v>
      </c>
      <c r="B887" s="21" t="s">
        <v>195</v>
      </c>
      <c r="C887" s="21" t="s">
        <v>79</v>
      </c>
      <c r="D887" s="21" t="s">
        <v>114</v>
      </c>
      <c r="E887" s="22" t="n">
        <v>1.71</v>
      </c>
      <c r="F887" s="22" t="n">
        <v>3.72</v>
      </c>
      <c r="G887" s="23" t="n">
        <v>440</v>
      </c>
      <c r="H887" s="23" t="n">
        <v>351</v>
      </c>
      <c r="I887" s="23" t="n">
        <f aca="false">G887-H887</f>
        <v>89</v>
      </c>
      <c r="J887" s="21" t="str">
        <f aca="false">IF(I887&lt;50,"LOW-IN-STOCK","IN-STOCK")</f>
        <v>IN-STOCK</v>
      </c>
      <c r="K887" s="22" t="n">
        <f aca="false">E887*G887</f>
        <v>752.4</v>
      </c>
      <c r="L887" s="22" t="n">
        <f aca="false">F887*H887</f>
        <v>1305.72</v>
      </c>
      <c r="M887" s="22" t="n">
        <f aca="false">L887-K887</f>
        <v>553.32</v>
      </c>
    </row>
    <row r="888" customFormat="false" ht="15" hidden="false" customHeight="false" outlineLevel="0" collapsed="false">
      <c r="A888" s="21" t="s">
        <v>1057</v>
      </c>
      <c r="B888" s="21" t="s">
        <v>126</v>
      </c>
      <c r="C888" s="21" t="s">
        <v>79</v>
      </c>
      <c r="D888" s="21" t="s">
        <v>80</v>
      </c>
      <c r="E888" s="22" t="n">
        <v>11.53</v>
      </c>
      <c r="F888" s="22" t="n">
        <v>24.14</v>
      </c>
      <c r="G888" s="23" t="n">
        <v>95</v>
      </c>
      <c r="H888" s="23" t="n">
        <v>78</v>
      </c>
      <c r="I888" s="23" t="n">
        <f aca="false">G888-H888</f>
        <v>17</v>
      </c>
      <c r="J888" s="21" t="str">
        <f aca="false">IF(I888&lt;50,"LOW-IN-STOCK","IN-STOCK")</f>
        <v>LOW-IN-STOCK</v>
      </c>
      <c r="K888" s="22" t="n">
        <f aca="false">E888*G888</f>
        <v>1095.35</v>
      </c>
      <c r="L888" s="22" t="n">
        <f aca="false">F888*H888</f>
        <v>1882.92</v>
      </c>
      <c r="M888" s="22" t="n">
        <f aca="false">L888-K888</f>
        <v>787.57</v>
      </c>
    </row>
    <row r="889" customFormat="false" ht="15" hidden="false" customHeight="false" outlineLevel="0" collapsed="false">
      <c r="A889" s="21" t="s">
        <v>1058</v>
      </c>
      <c r="B889" s="21" t="s">
        <v>383</v>
      </c>
      <c r="C889" s="21" t="s">
        <v>87</v>
      </c>
      <c r="D889" s="21" t="s">
        <v>76</v>
      </c>
      <c r="E889" s="22" t="n">
        <v>10.74</v>
      </c>
      <c r="F889" s="22" t="n">
        <v>14.08</v>
      </c>
      <c r="G889" s="23" t="n">
        <v>391</v>
      </c>
      <c r="H889" s="23" t="n">
        <v>206</v>
      </c>
      <c r="I889" s="23" t="n">
        <f aca="false">G889-H889</f>
        <v>185</v>
      </c>
      <c r="J889" s="21" t="str">
        <f aca="false">IF(I889&lt;50,"LOW-IN-STOCK","IN-STOCK")</f>
        <v>IN-STOCK</v>
      </c>
      <c r="K889" s="22" t="n">
        <f aca="false">E889*G889</f>
        <v>4199.34</v>
      </c>
      <c r="L889" s="22" t="n">
        <f aca="false">F889*H889</f>
        <v>2900.48</v>
      </c>
      <c r="M889" s="22" t="n">
        <f aca="false">L889-K889</f>
        <v>-1298.86</v>
      </c>
    </row>
    <row r="890" customFormat="false" ht="15" hidden="false" customHeight="false" outlineLevel="0" collapsed="false">
      <c r="A890" s="21" t="s">
        <v>1059</v>
      </c>
      <c r="B890" s="21" t="s">
        <v>154</v>
      </c>
      <c r="C890" s="21" t="s">
        <v>93</v>
      </c>
      <c r="D890" s="21" t="s">
        <v>99</v>
      </c>
      <c r="E890" s="22" t="n">
        <v>8.7</v>
      </c>
      <c r="F890" s="22" t="n">
        <v>15.08</v>
      </c>
      <c r="G890" s="23" t="n">
        <v>433</v>
      </c>
      <c r="H890" s="23" t="n">
        <v>252</v>
      </c>
      <c r="I890" s="23" t="n">
        <f aca="false">G890-H890</f>
        <v>181</v>
      </c>
      <c r="J890" s="21" t="str">
        <f aca="false">IF(I890&lt;50,"LOW-IN-STOCK","IN-STOCK")</f>
        <v>IN-STOCK</v>
      </c>
      <c r="K890" s="22" t="n">
        <f aca="false">E890*G890</f>
        <v>3767.1</v>
      </c>
      <c r="L890" s="22" t="n">
        <f aca="false">F890*H890</f>
        <v>3800.16</v>
      </c>
      <c r="M890" s="22" t="n">
        <f aca="false">L890-K890</f>
        <v>33.0599999999999</v>
      </c>
    </row>
    <row r="891" customFormat="false" ht="15" hidden="false" customHeight="false" outlineLevel="0" collapsed="false">
      <c r="A891" s="21" t="s">
        <v>1060</v>
      </c>
      <c r="B891" s="21" t="s">
        <v>276</v>
      </c>
      <c r="C891" s="21" t="s">
        <v>83</v>
      </c>
      <c r="D891" s="21" t="s">
        <v>114</v>
      </c>
      <c r="E891" s="22" t="n">
        <v>19.91</v>
      </c>
      <c r="F891" s="22" t="n">
        <v>41.61</v>
      </c>
      <c r="G891" s="23" t="n">
        <v>73</v>
      </c>
      <c r="H891" s="23" t="n">
        <v>16</v>
      </c>
      <c r="I891" s="23" t="n">
        <f aca="false">G891-H891</f>
        <v>57</v>
      </c>
      <c r="J891" s="21" t="str">
        <f aca="false">IF(I891&lt;50,"LOW-IN-STOCK","IN-STOCK")</f>
        <v>IN-STOCK</v>
      </c>
      <c r="K891" s="22" t="n">
        <f aca="false">E891*G891</f>
        <v>1453.43</v>
      </c>
      <c r="L891" s="22" t="n">
        <f aca="false">F891*H891</f>
        <v>665.76</v>
      </c>
      <c r="M891" s="22" t="n">
        <f aca="false">L891-K891</f>
        <v>-787.67</v>
      </c>
    </row>
    <row r="892" customFormat="false" ht="15" hidden="false" customHeight="false" outlineLevel="0" collapsed="false">
      <c r="A892" s="21" t="s">
        <v>1061</v>
      </c>
      <c r="B892" s="21" t="s">
        <v>139</v>
      </c>
      <c r="C892" s="21" t="s">
        <v>75</v>
      </c>
      <c r="D892" s="21" t="s">
        <v>108</v>
      </c>
      <c r="E892" s="22" t="n">
        <v>23.57</v>
      </c>
      <c r="F892" s="22" t="n">
        <v>35.64</v>
      </c>
      <c r="G892" s="23" t="n">
        <v>256</v>
      </c>
      <c r="H892" s="23" t="n">
        <v>240</v>
      </c>
      <c r="I892" s="23" t="n">
        <f aca="false">G892-H892</f>
        <v>16</v>
      </c>
      <c r="J892" s="21" t="str">
        <f aca="false">IF(I892&lt;50,"LOW-IN-STOCK","IN-STOCK")</f>
        <v>LOW-IN-STOCK</v>
      </c>
      <c r="K892" s="22" t="n">
        <f aca="false">E892*G892</f>
        <v>6033.92</v>
      </c>
      <c r="L892" s="22" t="n">
        <f aca="false">F892*H892</f>
        <v>8553.6</v>
      </c>
      <c r="M892" s="22" t="n">
        <f aca="false">L892-K892</f>
        <v>2519.68</v>
      </c>
    </row>
    <row r="893" customFormat="false" ht="15" hidden="false" customHeight="false" outlineLevel="0" collapsed="false">
      <c r="A893" s="21" t="s">
        <v>1062</v>
      </c>
      <c r="B893" s="21" t="s">
        <v>311</v>
      </c>
      <c r="C893" s="21" t="s">
        <v>75</v>
      </c>
      <c r="D893" s="21" t="s">
        <v>84</v>
      </c>
      <c r="E893" s="22" t="n">
        <v>28.82</v>
      </c>
      <c r="F893" s="22" t="n">
        <v>45.98</v>
      </c>
      <c r="G893" s="23" t="n">
        <v>34</v>
      </c>
      <c r="H893" s="23" t="n">
        <v>23</v>
      </c>
      <c r="I893" s="23" t="n">
        <f aca="false">G893-H893</f>
        <v>11</v>
      </c>
      <c r="J893" s="21" t="str">
        <f aca="false">IF(I893&lt;50,"LOW-IN-STOCK","IN-STOCK")</f>
        <v>LOW-IN-STOCK</v>
      </c>
      <c r="K893" s="22" t="n">
        <f aca="false">E893*G893</f>
        <v>979.88</v>
      </c>
      <c r="L893" s="22" t="n">
        <f aca="false">F893*H893</f>
        <v>1057.54</v>
      </c>
      <c r="M893" s="22" t="n">
        <f aca="false">L893-K893</f>
        <v>77.66</v>
      </c>
    </row>
    <row r="894" customFormat="false" ht="15" hidden="false" customHeight="false" outlineLevel="0" collapsed="false">
      <c r="A894" s="21" t="s">
        <v>1063</v>
      </c>
      <c r="B894" s="21" t="s">
        <v>250</v>
      </c>
      <c r="C894" s="21" t="s">
        <v>79</v>
      </c>
      <c r="D894" s="21" t="s">
        <v>108</v>
      </c>
      <c r="E894" s="22" t="n">
        <v>15.03</v>
      </c>
      <c r="F894" s="22" t="n">
        <v>23.18</v>
      </c>
      <c r="G894" s="23" t="n">
        <v>331</v>
      </c>
      <c r="H894" s="23" t="n">
        <v>235</v>
      </c>
      <c r="I894" s="23" t="n">
        <f aca="false">G894-H894</f>
        <v>96</v>
      </c>
      <c r="J894" s="21" t="str">
        <f aca="false">IF(I894&lt;50,"LOW-IN-STOCK","IN-STOCK")</f>
        <v>IN-STOCK</v>
      </c>
      <c r="K894" s="22" t="n">
        <f aca="false">E894*G894</f>
        <v>4974.93</v>
      </c>
      <c r="L894" s="22" t="n">
        <f aca="false">F894*H894</f>
        <v>5447.3</v>
      </c>
      <c r="M894" s="22" t="n">
        <f aca="false">L894-K894</f>
        <v>472.370000000001</v>
      </c>
    </row>
    <row r="895" customFormat="false" ht="15" hidden="false" customHeight="false" outlineLevel="0" collapsed="false">
      <c r="A895" s="21" t="s">
        <v>1064</v>
      </c>
      <c r="B895" s="21" t="s">
        <v>246</v>
      </c>
      <c r="C895" s="21" t="s">
        <v>75</v>
      </c>
      <c r="D895" s="21" t="s">
        <v>76</v>
      </c>
      <c r="E895" s="22" t="n">
        <v>2.88</v>
      </c>
      <c r="F895" s="22" t="n">
        <v>4.85</v>
      </c>
      <c r="G895" s="23" t="n">
        <v>63</v>
      </c>
      <c r="H895" s="23" t="n">
        <v>13</v>
      </c>
      <c r="I895" s="23" t="n">
        <f aca="false">G895-H895</f>
        <v>50</v>
      </c>
      <c r="J895" s="21" t="str">
        <f aca="false">IF(I895&lt;50,"LOW-IN-STOCK","IN-STOCK")</f>
        <v>IN-STOCK</v>
      </c>
      <c r="K895" s="22" t="n">
        <f aca="false">E895*G895</f>
        <v>181.44</v>
      </c>
      <c r="L895" s="22" t="n">
        <f aca="false">F895*H895</f>
        <v>63.05</v>
      </c>
      <c r="M895" s="22" t="n">
        <f aca="false">L895-K895</f>
        <v>-118.39</v>
      </c>
    </row>
    <row r="896" customFormat="false" ht="15" hidden="false" customHeight="false" outlineLevel="0" collapsed="false">
      <c r="A896" s="21" t="s">
        <v>1065</v>
      </c>
      <c r="B896" s="21" t="s">
        <v>116</v>
      </c>
      <c r="C896" s="21" t="s">
        <v>83</v>
      </c>
      <c r="D896" s="21" t="s">
        <v>114</v>
      </c>
      <c r="E896" s="22" t="n">
        <v>8.35</v>
      </c>
      <c r="F896" s="22" t="n">
        <v>15.83</v>
      </c>
      <c r="G896" s="23" t="n">
        <v>440</v>
      </c>
      <c r="H896" s="23" t="n">
        <v>145</v>
      </c>
      <c r="I896" s="23" t="n">
        <f aca="false">G896-H896</f>
        <v>295</v>
      </c>
      <c r="J896" s="21" t="str">
        <f aca="false">IF(I896&lt;50,"LOW-IN-STOCK","IN-STOCK")</f>
        <v>IN-STOCK</v>
      </c>
      <c r="K896" s="22" t="n">
        <f aca="false">E896*G896</f>
        <v>3674</v>
      </c>
      <c r="L896" s="22" t="n">
        <f aca="false">F896*H896</f>
        <v>2295.35</v>
      </c>
      <c r="M896" s="22" t="n">
        <f aca="false">L896-K896</f>
        <v>-1378.65</v>
      </c>
    </row>
    <row r="897" customFormat="false" ht="15" hidden="false" customHeight="false" outlineLevel="0" collapsed="false">
      <c r="A897" s="21" t="s">
        <v>1066</v>
      </c>
      <c r="B897" s="21" t="s">
        <v>92</v>
      </c>
      <c r="C897" s="21" t="s">
        <v>93</v>
      </c>
      <c r="D897" s="21" t="s">
        <v>137</v>
      </c>
      <c r="E897" s="22" t="n">
        <v>2.77</v>
      </c>
      <c r="F897" s="22" t="n">
        <v>5.73</v>
      </c>
      <c r="G897" s="23" t="n">
        <v>183</v>
      </c>
      <c r="H897" s="23" t="n">
        <v>47</v>
      </c>
      <c r="I897" s="23" t="n">
        <f aca="false">G897-H897</f>
        <v>136</v>
      </c>
      <c r="J897" s="21" t="str">
        <f aca="false">IF(I897&lt;50,"LOW-IN-STOCK","IN-STOCK")</f>
        <v>IN-STOCK</v>
      </c>
      <c r="K897" s="22" t="n">
        <f aca="false">E897*G897</f>
        <v>506.91</v>
      </c>
      <c r="L897" s="22" t="n">
        <f aca="false">F897*H897</f>
        <v>269.31</v>
      </c>
      <c r="M897" s="22" t="n">
        <f aca="false">L897-K897</f>
        <v>-237.6</v>
      </c>
    </row>
    <row r="898" customFormat="false" ht="15" hidden="false" customHeight="false" outlineLevel="0" collapsed="false">
      <c r="A898" s="21" t="s">
        <v>1067</v>
      </c>
      <c r="B898" s="21" t="s">
        <v>227</v>
      </c>
      <c r="C898" s="21" t="s">
        <v>148</v>
      </c>
      <c r="D898" s="21" t="s">
        <v>137</v>
      </c>
      <c r="E898" s="22" t="n">
        <v>38.83</v>
      </c>
      <c r="F898" s="22" t="n">
        <v>77.26</v>
      </c>
      <c r="G898" s="23" t="n">
        <v>372</v>
      </c>
      <c r="H898" s="23" t="n">
        <v>311</v>
      </c>
      <c r="I898" s="23" t="n">
        <f aca="false">G898-H898</f>
        <v>61</v>
      </c>
      <c r="J898" s="21" t="str">
        <f aca="false">IF(I898&lt;50,"LOW-IN-STOCK","IN-STOCK")</f>
        <v>IN-STOCK</v>
      </c>
      <c r="K898" s="22" t="n">
        <f aca="false">E898*G898</f>
        <v>14444.76</v>
      </c>
      <c r="L898" s="22" t="n">
        <f aca="false">F898*H898</f>
        <v>24027.86</v>
      </c>
      <c r="M898" s="22" t="n">
        <f aca="false">L898-K898</f>
        <v>9583.1</v>
      </c>
    </row>
    <row r="899" customFormat="false" ht="15" hidden="false" customHeight="false" outlineLevel="0" collapsed="false">
      <c r="A899" s="21" t="s">
        <v>1068</v>
      </c>
      <c r="B899" s="21" t="s">
        <v>126</v>
      </c>
      <c r="C899" s="21" t="s">
        <v>79</v>
      </c>
      <c r="D899" s="21" t="s">
        <v>99</v>
      </c>
      <c r="E899" s="22" t="n">
        <v>2.28</v>
      </c>
      <c r="F899" s="22" t="n">
        <v>3.39</v>
      </c>
      <c r="G899" s="23" t="n">
        <v>199</v>
      </c>
      <c r="H899" s="23" t="n">
        <v>66</v>
      </c>
      <c r="I899" s="23" t="n">
        <f aca="false">G899-H899</f>
        <v>133</v>
      </c>
      <c r="J899" s="21" t="str">
        <f aca="false">IF(I899&lt;50,"LOW-IN-STOCK","IN-STOCK")</f>
        <v>IN-STOCK</v>
      </c>
      <c r="K899" s="22" t="n">
        <f aca="false">E899*G899</f>
        <v>453.72</v>
      </c>
      <c r="L899" s="22" t="n">
        <f aca="false">F899*H899</f>
        <v>223.74</v>
      </c>
      <c r="M899" s="22" t="n">
        <f aca="false">L899-K899</f>
        <v>-229.98</v>
      </c>
    </row>
    <row r="900" customFormat="false" ht="15" hidden="false" customHeight="false" outlineLevel="0" collapsed="false">
      <c r="A900" s="21" t="s">
        <v>1069</v>
      </c>
      <c r="B900" s="21" t="s">
        <v>227</v>
      </c>
      <c r="C900" s="21" t="s">
        <v>148</v>
      </c>
      <c r="D900" s="21" t="s">
        <v>76</v>
      </c>
      <c r="E900" s="22" t="n">
        <v>7.6</v>
      </c>
      <c r="F900" s="22" t="n">
        <v>13.42</v>
      </c>
      <c r="G900" s="23" t="n">
        <v>436</v>
      </c>
      <c r="H900" s="23" t="n">
        <v>138</v>
      </c>
      <c r="I900" s="23" t="n">
        <f aca="false">G900-H900</f>
        <v>298</v>
      </c>
      <c r="J900" s="21" t="str">
        <f aca="false">IF(I900&lt;50,"LOW-IN-STOCK","IN-STOCK")</f>
        <v>IN-STOCK</v>
      </c>
      <c r="K900" s="22" t="n">
        <f aca="false">E900*G900</f>
        <v>3313.6</v>
      </c>
      <c r="L900" s="22" t="n">
        <f aca="false">F900*H900</f>
        <v>1851.96</v>
      </c>
      <c r="M900" s="22" t="n">
        <f aca="false">L900-K900</f>
        <v>-1461.64</v>
      </c>
    </row>
    <row r="901" customFormat="false" ht="15" hidden="false" customHeight="false" outlineLevel="0" collapsed="false">
      <c r="A901" s="21" t="s">
        <v>1070</v>
      </c>
      <c r="B901" s="21" t="s">
        <v>147</v>
      </c>
      <c r="C901" s="21" t="s">
        <v>148</v>
      </c>
      <c r="D901" s="21" t="s">
        <v>84</v>
      </c>
      <c r="E901" s="22" t="n">
        <v>49.88</v>
      </c>
      <c r="F901" s="22" t="n">
        <v>80.04</v>
      </c>
      <c r="G901" s="23" t="n">
        <v>210</v>
      </c>
      <c r="H901" s="23" t="n">
        <v>57</v>
      </c>
      <c r="I901" s="23" t="n">
        <f aca="false">G901-H901</f>
        <v>153</v>
      </c>
      <c r="J901" s="21" t="str">
        <f aca="false">IF(I901&lt;50,"LOW-IN-STOCK","IN-STOCK")</f>
        <v>IN-STOCK</v>
      </c>
      <c r="K901" s="22" t="n">
        <f aca="false">E901*G901</f>
        <v>10474.8</v>
      </c>
      <c r="L901" s="22" t="n">
        <f aca="false">F901*H901</f>
        <v>4562.28</v>
      </c>
      <c r="M901" s="22" t="n">
        <f aca="false">L901-K901</f>
        <v>-5912.52</v>
      </c>
    </row>
    <row r="902" customFormat="false" ht="15" hidden="false" customHeight="false" outlineLevel="0" collapsed="false">
      <c r="A902" s="21" t="s">
        <v>1071</v>
      </c>
      <c r="B902" s="21" t="s">
        <v>319</v>
      </c>
      <c r="C902" s="21" t="s">
        <v>113</v>
      </c>
      <c r="D902" s="21" t="s">
        <v>80</v>
      </c>
      <c r="E902" s="22" t="n">
        <v>14.82</v>
      </c>
      <c r="F902" s="22" t="n">
        <v>29.18</v>
      </c>
      <c r="G902" s="23" t="n">
        <v>50</v>
      </c>
      <c r="H902" s="23" t="n">
        <v>27</v>
      </c>
      <c r="I902" s="23" t="n">
        <f aca="false">G902-H902</f>
        <v>23</v>
      </c>
      <c r="J902" s="21" t="str">
        <f aca="false">IF(I902&lt;50,"LOW-IN-STOCK","IN-STOCK")</f>
        <v>LOW-IN-STOCK</v>
      </c>
      <c r="K902" s="22" t="n">
        <f aca="false">E902*G902</f>
        <v>741</v>
      </c>
      <c r="L902" s="22" t="n">
        <f aca="false">F902*H902</f>
        <v>787.86</v>
      </c>
      <c r="M902" s="22" t="n">
        <f aca="false">L902-K902</f>
        <v>46.86</v>
      </c>
    </row>
    <row r="903" customFormat="false" ht="15" hidden="false" customHeight="false" outlineLevel="0" collapsed="false">
      <c r="A903" s="21" t="s">
        <v>1072</v>
      </c>
      <c r="B903" s="21" t="s">
        <v>332</v>
      </c>
      <c r="C903" s="21" t="s">
        <v>107</v>
      </c>
      <c r="D903" s="21" t="s">
        <v>102</v>
      </c>
      <c r="E903" s="22" t="n">
        <v>5.38</v>
      </c>
      <c r="F903" s="22" t="n">
        <v>10.07</v>
      </c>
      <c r="G903" s="23" t="n">
        <v>159</v>
      </c>
      <c r="H903" s="23" t="n">
        <v>21</v>
      </c>
      <c r="I903" s="23" t="n">
        <f aca="false">G903-H903</f>
        <v>138</v>
      </c>
      <c r="J903" s="21" t="str">
        <f aca="false">IF(I903&lt;50,"LOW-IN-STOCK","IN-STOCK")</f>
        <v>IN-STOCK</v>
      </c>
      <c r="K903" s="22" t="n">
        <f aca="false">E903*G903</f>
        <v>855.42</v>
      </c>
      <c r="L903" s="22" t="n">
        <f aca="false">F903*H903</f>
        <v>211.47</v>
      </c>
      <c r="M903" s="22" t="n">
        <f aca="false">L903-K903</f>
        <v>-643.95</v>
      </c>
    </row>
    <row r="904" customFormat="false" ht="15" hidden="false" customHeight="false" outlineLevel="0" collapsed="false">
      <c r="A904" s="21" t="s">
        <v>1073</v>
      </c>
      <c r="B904" s="21" t="s">
        <v>101</v>
      </c>
      <c r="C904" s="21" t="s">
        <v>83</v>
      </c>
      <c r="D904" s="21" t="s">
        <v>102</v>
      </c>
      <c r="E904" s="22" t="n">
        <v>14.66</v>
      </c>
      <c r="F904" s="22" t="n">
        <v>25.45</v>
      </c>
      <c r="G904" s="23" t="n">
        <v>166</v>
      </c>
      <c r="H904" s="23" t="n">
        <v>150</v>
      </c>
      <c r="I904" s="23" t="n">
        <f aca="false">G904-H904</f>
        <v>16</v>
      </c>
      <c r="J904" s="21" t="str">
        <f aca="false">IF(I904&lt;50,"LOW-IN-STOCK","IN-STOCK")</f>
        <v>LOW-IN-STOCK</v>
      </c>
      <c r="K904" s="22" t="n">
        <f aca="false">E904*G904</f>
        <v>2433.56</v>
      </c>
      <c r="L904" s="22" t="n">
        <f aca="false">F904*H904</f>
        <v>3817.5</v>
      </c>
      <c r="M904" s="22" t="n">
        <f aca="false">L904-K904</f>
        <v>1383.94</v>
      </c>
    </row>
    <row r="905" customFormat="false" ht="15" hidden="false" customHeight="false" outlineLevel="0" collapsed="false">
      <c r="A905" s="21" t="s">
        <v>1074</v>
      </c>
      <c r="B905" s="21" t="s">
        <v>184</v>
      </c>
      <c r="C905" s="21" t="s">
        <v>148</v>
      </c>
      <c r="D905" s="21" t="s">
        <v>102</v>
      </c>
      <c r="E905" s="22" t="n">
        <v>7.86</v>
      </c>
      <c r="F905" s="22" t="n">
        <v>12.78</v>
      </c>
      <c r="G905" s="23" t="n">
        <v>338</v>
      </c>
      <c r="H905" s="23" t="n">
        <v>296</v>
      </c>
      <c r="I905" s="23" t="n">
        <f aca="false">G905-H905</f>
        <v>42</v>
      </c>
      <c r="J905" s="21" t="str">
        <f aca="false">IF(I905&lt;50,"LOW-IN-STOCK","IN-STOCK")</f>
        <v>LOW-IN-STOCK</v>
      </c>
      <c r="K905" s="22" t="n">
        <f aca="false">E905*G905</f>
        <v>2656.68</v>
      </c>
      <c r="L905" s="22" t="n">
        <f aca="false">F905*H905</f>
        <v>3782.88</v>
      </c>
      <c r="M905" s="22" t="n">
        <f aca="false">L905-K905</f>
        <v>1126.2</v>
      </c>
    </row>
    <row r="906" customFormat="false" ht="15" hidden="false" customHeight="false" outlineLevel="0" collapsed="false">
      <c r="A906" s="21" t="s">
        <v>1075</v>
      </c>
      <c r="B906" s="21" t="s">
        <v>229</v>
      </c>
      <c r="C906" s="21" t="s">
        <v>113</v>
      </c>
      <c r="D906" s="21" t="s">
        <v>88</v>
      </c>
      <c r="E906" s="22" t="n">
        <v>19.43</v>
      </c>
      <c r="F906" s="22" t="n">
        <v>30.49</v>
      </c>
      <c r="G906" s="23" t="n">
        <v>428</v>
      </c>
      <c r="H906" s="23" t="n">
        <v>302</v>
      </c>
      <c r="I906" s="23" t="n">
        <f aca="false">G906-H906</f>
        <v>126</v>
      </c>
      <c r="J906" s="21" t="str">
        <f aca="false">IF(I906&lt;50,"LOW-IN-STOCK","IN-STOCK")</f>
        <v>IN-STOCK</v>
      </c>
      <c r="K906" s="22" t="n">
        <f aca="false">E906*G906</f>
        <v>8316.04</v>
      </c>
      <c r="L906" s="22" t="n">
        <f aca="false">F906*H906</f>
        <v>9207.98</v>
      </c>
      <c r="M906" s="22" t="n">
        <f aca="false">L906-K906</f>
        <v>891.940000000001</v>
      </c>
    </row>
    <row r="907" customFormat="false" ht="15" hidden="false" customHeight="false" outlineLevel="0" collapsed="false">
      <c r="A907" s="21" t="s">
        <v>1076</v>
      </c>
      <c r="B907" s="21" t="s">
        <v>134</v>
      </c>
      <c r="C907" s="21" t="s">
        <v>83</v>
      </c>
      <c r="D907" s="21" t="s">
        <v>102</v>
      </c>
      <c r="E907" s="22" t="n">
        <v>11.09</v>
      </c>
      <c r="F907" s="22" t="n">
        <v>23.91</v>
      </c>
      <c r="G907" s="23" t="n">
        <v>467</v>
      </c>
      <c r="H907" s="23" t="n">
        <v>376</v>
      </c>
      <c r="I907" s="23" t="n">
        <f aca="false">G907-H907</f>
        <v>91</v>
      </c>
      <c r="J907" s="21" t="str">
        <f aca="false">IF(I907&lt;50,"LOW-IN-STOCK","IN-STOCK")</f>
        <v>IN-STOCK</v>
      </c>
      <c r="K907" s="22" t="n">
        <f aca="false">E907*G907</f>
        <v>5179.03</v>
      </c>
      <c r="L907" s="22" t="n">
        <f aca="false">F907*H907</f>
        <v>8990.16</v>
      </c>
      <c r="M907" s="22" t="n">
        <f aca="false">L907-K907</f>
        <v>3811.13</v>
      </c>
    </row>
    <row r="908" customFormat="false" ht="15" hidden="false" customHeight="false" outlineLevel="0" collapsed="false">
      <c r="A908" s="21" t="s">
        <v>1077</v>
      </c>
      <c r="B908" s="21" t="s">
        <v>201</v>
      </c>
      <c r="C908" s="21" t="s">
        <v>107</v>
      </c>
      <c r="D908" s="21" t="s">
        <v>160</v>
      </c>
      <c r="E908" s="22" t="n">
        <v>0.7</v>
      </c>
      <c r="F908" s="22" t="n">
        <v>1.27</v>
      </c>
      <c r="G908" s="23" t="n">
        <v>156</v>
      </c>
      <c r="H908" s="23" t="n">
        <v>123</v>
      </c>
      <c r="I908" s="23" t="n">
        <f aca="false">G908-H908</f>
        <v>33</v>
      </c>
      <c r="J908" s="21" t="str">
        <f aca="false">IF(I908&lt;50,"LOW-IN-STOCK","IN-STOCK")</f>
        <v>LOW-IN-STOCK</v>
      </c>
      <c r="K908" s="22" t="n">
        <f aca="false">E908*G908</f>
        <v>109.2</v>
      </c>
      <c r="L908" s="22" t="n">
        <f aca="false">F908*H908</f>
        <v>156.21</v>
      </c>
      <c r="M908" s="22" t="n">
        <f aca="false">L908-K908</f>
        <v>47.01</v>
      </c>
    </row>
    <row r="909" customFormat="false" ht="15" hidden="false" customHeight="false" outlineLevel="0" collapsed="false">
      <c r="A909" s="21" t="s">
        <v>1078</v>
      </c>
      <c r="B909" s="21" t="s">
        <v>92</v>
      </c>
      <c r="C909" s="21" t="s">
        <v>93</v>
      </c>
      <c r="D909" s="21" t="s">
        <v>102</v>
      </c>
      <c r="E909" s="22" t="n">
        <v>5.68</v>
      </c>
      <c r="F909" s="22" t="n">
        <v>9.07</v>
      </c>
      <c r="G909" s="23" t="n">
        <v>196</v>
      </c>
      <c r="H909" s="23" t="n">
        <v>97</v>
      </c>
      <c r="I909" s="23" t="n">
        <f aca="false">G909-H909</f>
        <v>99</v>
      </c>
      <c r="J909" s="21" t="str">
        <f aca="false">IF(I909&lt;50,"LOW-IN-STOCK","IN-STOCK")</f>
        <v>IN-STOCK</v>
      </c>
      <c r="K909" s="22" t="n">
        <f aca="false">E909*G909</f>
        <v>1113.28</v>
      </c>
      <c r="L909" s="22" t="n">
        <f aca="false">F909*H909</f>
        <v>879.79</v>
      </c>
      <c r="M909" s="22" t="n">
        <f aca="false">L909-K909</f>
        <v>-233.49</v>
      </c>
    </row>
    <row r="910" customFormat="false" ht="15" hidden="false" customHeight="false" outlineLevel="0" collapsed="false">
      <c r="A910" s="21" t="s">
        <v>1079</v>
      </c>
      <c r="B910" s="21" t="s">
        <v>207</v>
      </c>
      <c r="C910" s="21" t="s">
        <v>93</v>
      </c>
      <c r="D910" s="21" t="s">
        <v>99</v>
      </c>
      <c r="E910" s="22" t="n">
        <v>8.27</v>
      </c>
      <c r="F910" s="22" t="n">
        <v>17.14</v>
      </c>
      <c r="G910" s="23" t="n">
        <v>298</v>
      </c>
      <c r="H910" s="23" t="n">
        <v>241</v>
      </c>
      <c r="I910" s="23" t="n">
        <f aca="false">G910-H910</f>
        <v>57</v>
      </c>
      <c r="J910" s="21" t="str">
        <f aca="false">IF(I910&lt;50,"LOW-IN-STOCK","IN-STOCK")</f>
        <v>IN-STOCK</v>
      </c>
      <c r="K910" s="22" t="n">
        <f aca="false">E910*G910</f>
        <v>2464.46</v>
      </c>
      <c r="L910" s="22" t="n">
        <f aca="false">F910*H910</f>
        <v>4130.74</v>
      </c>
      <c r="M910" s="22" t="n">
        <f aca="false">L910-K910</f>
        <v>1666.28</v>
      </c>
    </row>
    <row r="911" customFormat="false" ht="15" hidden="false" customHeight="false" outlineLevel="0" collapsed="false">
      <c r="A911" s="21" t="s">
        <v>1080</v>
      </c>
      <c r="B911" s="21" t="s">
        <v>97</v>
      </c>
      <c r="C911" s="21" t="s">
        <v>83</v>
      </c>
      <c r="D911" s="21" t="s">
        <v>80</v>
      </c>
      <c r="E911" s="22" t="n">
        <v>1.96</v>
      </c>
      <c r="F911" s="22" t="n">
        <v>2.95</v>
      </c>
      <c r="G911" s="23" t="n">
        <v>97</v>
      </c>
      <c r="H911" s="23" t="n">
        <v>10</v>
      </c>
      <c r="I911" s="23" t="n">
        <f aca="false">G911-H911</f>
        <v>87</v>
      </c>
      <c r="J911" s="21" t="str">
        <f aca="false">IF(I911&lt;50,"LOW-IN-STOCK","IN-STOCK")</f>
        <v>IN-STOCK</v>
      </c>
      <c r="K911" s="22" t="n">
        <f aca="false">E911*G911</f>
        <v>190.12</v>
      </c>
      <c r="L911" s="22" t="n">
        <f aca="false">F911*H911</f>
        <v>29.5</v>
      </c>
      <c r="M911" s="22" t="n">
        <f aca="false">L911-K911</f>
        <v>-160.62</v>
      </c>
    </row>
    <row r="912" customFormat="false" ht="15" hidden="false" customHeight="false" outlineLevel="0" collapsed="false">
      <c r="A912" s="21" t="s">
        <v>1081</v>
      </c>
      <c r="B912" s="21" t="s">
        <v>224</v>
      </c>
      <c r="C912" s="21" t="s">
        <v>79</v>
      </c>
      <c r="D912" s="21" t="s">
        <v>160</v>
      </c>
      <c r="E912" s="22" t="n">
        <v>5.02</v>
      </c>
      <c r="F912" s="22" t="n">
        <v>7.14</v>
      </c>
      <c r="G912" s="23" t="n">
        <v>100</v>
      </c>
      <c r="H912" s="23" t="n">
        <v>74</v>
      </c>
      <c r="I912" s="23" t="n">
        <f aca="false">G912-H912</f>
        <v>26</v>
      </c>
      <c r="J912" s="21" t="str">
        <f aca="false">IF(I912&lt;50,"LOW-IN-STOCK","IN-STOCK")</f>
        <v>LOW-IN-STOCK</v>
      </c>
      <c r="K912" s="22" t="n">
        <f aca="false">E912*G912</f>
        <v>502</v>
      </c>
      <c r="L912" s="22" t="n">
        <f aca="false">F912*H912</f>
        <v>528.36</v>
      </c>
      <c r="M912" s="22" t="n">
        <f aca="false">L912-K912</f>
        <v>26.3600000000001</v>
      </c>
    </row>
    <row r="913" customFormat="false" ht="15" hidden="false" customHeight="false" outlineLevel="0" collapsed="false">
      <c r="A913" s="21" t="s">
        <v>1082</v>
      </c>
      <c r="B913" s="21" t="s">
        <v>147</v>
      </c>
      <c r="C913" s="21" t="s">
        <v>148</v>
      </c>
      <c r="D913" s="21" t="s">
        <v>102</v>
      </c>
      <c r="E913" s="22" t="n">
        <v>59.73</v>
      </c>
      <c r="F913" s="22" t="n">
        <v>103.4</v>
      </c>
      <c r="G913" s="23" t="n">
        <v>258</v>
      </c>
      <c r="H913" s="23" t="n">
        <v>232</v>
      </c>
      <c r="I913" s="23" t="n">
        <f aca="false">G913-H913</f>
        <v>26</v>
      </c>
      <c r="J913" s="21" t="str">
        <f aca="false">IF(I913&lt;50,"LOW-IN-STOCK","IN-STOCK")</f>
        <v>LOW-IN-STOCK</v>
      </c>
      <c r="K913" s="22" t="n">
        <f aca="false">E913*G913</f>
        <v>15410.34</v>
      </c>
      <c r="L913" s="22" t="n">
        <f aca="false">F913*H913</f>
        <v>23988.8</v>
      </c>
      <c r="M913" s="22" t="n">
        <f aca="false">L913-K913</f>
        <v>8578.46000000001</v>
      </c>
    </row>
    <row r="914" customFormat="false" ht="15" hidden="false" customHeight="false" outlineLevel="0" collapsed="false">
      <c r="A914" s="21" t="s">
        <v>1083</v>
      </c>
      <c r="B914" s="21" t="s">
        <v>86</v>
      </c>
      <c r="C914" s="21" t="s">
        <v>87</v>
      </c>
      <c r="D914" s="21" t="s">
        <v>88</v>
      </c>
      <c r="E914" s="22" t="n">
        <v>7.25</v>
      </c>
      <c r="F914" s="22" t="n">
        <v>10.58</v>
      </c>
      <c r="G914" s="23" t="n">
        <v>497</v>
      </c>
      <c r="H914" s="23" t="n">
        <v>380</v>
      </c>
      <c r="I914" s="23" t="n">
        <f aca="false">G914-H914</f>
        <v>117</v>
      </c>
      <c r="J914" s="21" t="str">
        <f aca="false">IF(I914&lt;50,"LOW-IN-STOCK","IN-STOCK")</f>
        <v>IN-STOCK</v>
      </c>
      <c r="K914" s="22" t="n">
        <f aca="false">E914*G914</f>
        <v>3603.25</v>
      </c>
      <c r="L914" s="22" t="n">
        <f aca="false">F914*H914</f>
        <v>4020.4</v>
      </c>
      <c r="M914" s="22" t="n">
        <f aca="false">L914-K914</f>
        <v>417.15</v>
      </c>
    </row>
    <row r="915" customFormat="false" ht="15" hidden="false" customHeight="false" outlineLevel="0" collapsed="false">
      <c r="A915" s="21" t="s">
        <v>1084</v>
      </c>
      <c r="B915" s="21" t="s">
        <v>139</v>
      </c>
      <c r="C915" s="21" t="s">
        <v>75</v>
      </c>
      <c r="D915" s="21" t="s">
        <v>102</v>
      </c>
      <c r="E915" s="22" t="n">
        <v>3.63</v>
      </c>
      <c r="F915" s="22" t="n">
        <v>5.89</v>
      </c>
      <c r="G915" s="23" t="n">
        <v>308</v>
      </c>
      <c r="H915" s="23" t="n">
        <v>263</v>
      </c>
      <c r="I915" s="23" t="n">
        <f aca="false">G915-H915</f>
        <v>45</v>
      </c>
      <c r="J915" s="21" t="str">
        <f aca="false">IF(I915&lt;50,"LOW-IN-STOCK","IN-STOCK")</f>
        <v>LOW-IN-STOCK</v>
      </c>
      <c r="K915" s="22" t="n">
        <f aca="false">E915*G915</f>
        <v>1118.04</v>
      </c>
      <c r="L915" s="22" t="n">
        <f aca="false">F915*H915</f>
        <v>1549.07</v>
      </c>
      <c r="M915" s="22" t="n">
        <f aca="false">L915-K915</f>
        <v>431.03</v>
      </c>
    </row>
    <row r="916" customFormat="false" ht="15" hidden="false" customHeight="false" outlineLevel="0" collapsed="false">
      <c r="A916" s="21" t="s">
        <v>1085</v>
      </c>
      <c r="B916" s="21" t="s">
        <v>243</v>
      </c>
      <c r="C916" s="21" t="s">
        <v>113</v>
      </c>
      <c r="D916" s="21" t="s">
        <v>137</v>
      </c>
      <c r="E916" s="22" t="n">
        <v>23.36</v>
      </c>
      <c r="F916" s="22" t="n">
        <v>47.81</v>
      </c>
      <c r="G916" s="23" t="n">
        <v>300</v>
      </c>
      <c r="H916" s="23" t="n">
        <v>66</v>
      </c>
      <c r="I916" s="23" t="n">
        <f aca="false">G916-H916</f>
        <v>234</v>
      </c>
      <c r="J916" s="21" t="str">
        <f aca="false">IF(I916&lt;50,"LOW-IN-STOCK","IN-STOCK")</f>
        <v>IN-STOCK</v>
      </c>
      <c r="K916" s="22" t="n">
        <f aca="false">E916*G916</f>
        <v>7008</v>
      </c>
      <c r="L916" s="22" t="n">
        <f aca="false">F916*H916</f>
        <v>3155.46</v>
      </c>
      <c r="M916" s="22" t="n">
        <f aca="false">L916-K916</f>
        <v>-3852.54</v>
      </c>
    </row>
    <row r="917" customFormat="false" ht="15" hidden="false" customHeight="false" outlineLevel="0" collapsed="false">
      <c r="A917" s="21" t="s">
        <v>1086</v>
      </c>
      <c r="B917" s="21" t="s">
        <v>82</v>
      </c>
      <c r="C917" s="21" t="s">
        <v>83</v>
      </c>
      <c r="D917" s="21" t="s">
        <v>160</v>
      </c>
      <c r="E917" s="22" t="n">
        <v>5.34</v>
      </c>
      <c r="F917" s="22" t="n">
        <v>11.13</v>
      </c>
      <c r="G917" s="23" t="n">
        <v>410</v>
      </c>
      <c r="H917" s="23" t="n">
        <v>175</v>
      </c>
      <c r="I917" s="23" t="n">
        <f aca="false">G917-H917</f>
        <v>235</v>
      </c>
      <c r="J917" s="21" t="str">
        <f aca="false">IF(I917&lt;50,"LOW-IN-STOCK","IN-STOCK")</f>
        <v>IN-STOCK</v>
      </c>
      <c r="K917" s="22" t="n">
        <f aca="false">E917*G917</f>
        <v>2189.4</v>
      </c>
      <c r="L917" s="22" t="n">
        <f aca="false">F917*H917</f>
        <v>1947.75</v>
      </c>
      <c r="M917" s="22" t="n">
        <f aca="false">L917-K917</f>
        <v>-241.65</v>
      </c>
    </row>
    <row r="918" customFormat="false" ht="15" hidden="false" customHeight="false" outlineLevel="0" collapsed="false">
      <c r="A918" s="21" t="s">
        <v>1087</v>
      </c>
      <c r="B918" s="21" t="s">
        <v>141</v>
      </c>
      <c r="C918" s="21" t="s">
        <v>107</v>
      </c>
      <c r="D918" s="21" t="s">
        <v>76</v>
      </c>
      <c r="E918" s="22" t="n">
        <v>3.83</v>
      </c>
      <c r="F918" s="22" t="n">
        <v>6.14</v>
      </c>
      <c r="G918" s="23" t="n">
        <v>71</v>
      </c>
      <c r="H918" s="23" t="n">
        <v>61</v>
      </c>
      <c r="I918" s="23" t="n">
        <f aca="false">G918-H918</f>
        <v>10</v>
      </c>
      <c r="J918" s="21" t="str">
        <f aca="false">IF(I918&lt;50,"LOW-IN-STOCK","IN-STOCK")</f>
        <v>LOW-IN-STOCK</v>
      </c>
      <c r="K918" s="22" t="n">
        <f aca="false">E918*G918</f>
        <v>271.93</v>
      </c>
      <c r="L918" s="22" t="n">
        <f aca="false">F918*H918</f>
        <v>374.54</v>
      </c>
      <c r="M918" s="22" t="n">
        <f aca="false">L918-K918</f>
        <v>102.61</v>
      </c>
    </row>
    <row r="919" customFormat="false" ht="15" hidden="false" customHeight="false" outlineLevel="0" collapsed="false">
      <c r="A919" s="21" t="s">
        <v>1088</v>
      </c>
      <c r="B919" s="21" t="s">
        <v>289</v>
      </c>
      <c r="C919" s="21" t="s">
        <v>148</v>
      </c>
      <c r="D919" s="21" t="s">
        <v>102</v>
      </c>
      <c r="E919" s="22" t="n">
        <v>39.8</v>
      </c>
      <c r="F919" s="22" t="n">
        <v>54.47</v>
      </c>
      <c r="G919" s="23" t="n">
        <v>328</v>
      </c>
      <c r="H919" s="23" t="n">
        <v>237</v>
      </c>
      <c r="I919" s="23" t="n">
        <f aca="false">G919-H919</f>
        <v>91</v>
      </c>
      <c r="J919" s="21" t="str">
        <f aca="false">IF(I919&lt;50,"LOW-IN-STOCK","IN-STOCK")</f>
        <v>IN-STOCK</v>
      </c>
      <c r="K919" s="22" t="n">
        <f aca="false">E919*G919</f>
        <v>13054.4</v>
      </c>
      <c r="L919" s="22" t="n">
        <f aca="false">F919*H919</f>
        <v>12909.39</v>
      </c>
      <c r="M919" s="22" t="n">
        <f aca="false">L919-K919</f>
        <v>-145.01</v>
      </c>
    </row>
    <row r="920" customFormat="false" ht="15" hidden="false" customHeight="false" outlineLevel="0" collapsed="false">
      <c r="A920" s="21" t="s">
        <v>1089</v>
      </c>
      <c r="B920" s="21" t="s">
        <v>122</v>
      </c>
      <c r="C920" s="21" t="s">
        <v>75</v>
      </c>
      <c r="D920" s="21" t="s">
        <v>76</v>
      </c>
      <c r="E920" s="22" t="n">
        <v>11.85</v>
      </c>
      <c r="F920" s="22" t="n">
        <v>22.38</v>
      </c>
      <c r="G920" s="23" t="n">
        <v>226</v>
      </c>
      <c r="H920" s="23" t="n">
        <v>174</v>
      </c>
      <c r="I920" s="23" t="n">
        <f aca="false">G920-H920</f>
        <v>52</v>
      </c>
      <c r="J920" s="21" t="str">
        <f aca="false">IF(I920&lt;50,"LOW-IN-STOCK","IN-STOCK")</f>
        <v>IN-STOCK</v>
      </c>
      <c r="K920" s="22" t="n">
        <f aca="false">E920*G920</f>
        <v>2678.1</v>
      </c>
      <c r="L920" s="22" t="n">
        <f aca="false">F920*H920</f>
        <v>3894.12</v>
      </c>
      <c r="M920" s="22" t="n">
        <f aca="false">L920-K920</f>
        <v>1216.02</v>
      </c>
    </row>
    <row r="921" customFormat="false" ht="15" hidden="false" customHeight="false" outlineLevel="0" collapsed="false">
      <c r="A921" s="21" t="s">
        <v>1090</v>
      </c>
      <c r="B921" s="21" t="s">
        <v>143</v>
      </c>
      <c r="C921" s="21" t="s">
        <v>107</v>
      </c>
      <c r="D921" s="21" t="s">
        <v>88</v>
      </c>
      <c r="E921" s="22" t="n">
        <v>1.67</v>
      </c>
      <c r="F921" s="22" t="n">
        <v>2.77</v>
      </c>
      <c r="G921" s="23" t="n">
        <v>422</v>
      </c>
      <c r="H921" s="23" t="n">
        <v>324</v>
      </c>
      <c r="I921" s="23" t="n">
        <f aca="false">G921-H921</f>
        <v>98</v>
      </c>
      <c r="J921" s="21" t="str">
        <f aca="false">IF(I921&lt;50,"LOW-IN-STOCK","IN-STOCK")</f>
        <v>IN-STOCK</v>
      </c>
      <c r="K921" s="22" t="n">
        <f aca="false">E921*G921</f>
        <v>704.74</v>
      </c>
      <c r="L921" s="22" t="n">
        <f aca="false">F921*H921</f>
        <v>897.48</v>
      </c>
      <c r="M921" s="22" t="n">
        <f aca="false">L921-K921</f>
        <v>192.74</v>
      </c>
    </row>
    <row r="922" customFormat="false" ht="15" hidden="false" customHeight="false" outlineLevel="0" collapsed="false">
      <c r="A922" s="21" t="s">
        <v>1091</v>
      </c>
      <c r="B922" s="21" t="s">
        <v>359</v>
      </c>
      <c r="C922" s="21" t="s">
        <v>75</v>
      </c>
      <c r="D922" s="21" t="s">
        <v>137</v>
      </c>
      <c r="E922" s="22" t="n">
        <v>11.45</v>
      </c>
      <c r="F922" s="22" t="n">
        <v>22.62</v>
      </c>
      <c r="G922" s="23" t="n">
        <v>113</v>
      </c>
      <c r="H922" s="23" t="n">
        <v>106</v>
      </c>
      <c r="I922" s="23" t="n">
        <f aca="false">G922-H922</f>
        <v>7</v>
      </c>
      <c r="J922" s="21" t="str">
        <f aca="false">IF(I922&lt;50,"LOW-IN-STOCK","IN-STOCK")</f>
        <v>LOW-IN-STOCK</v>
      </c>
      <c r="K922" s="22" t="n">
        <f aca="false">E922*G922</f>
        <v>1293.85</v>
      </c>
      <c r="L922" s="22" t="n">
        <f aca="false">F922*H922</f>
        <v>2397.72</v>
      </c>
      <c r="M922" s="22" t="n">
        <f aca="false">L922-K922</f>
        <v>1103.87</v>
      </c>
    </row>
    <row r="923" customFormat="false" ht="15" hidden="false" customHeight="false" outlineLevel="0" collapsed="false">
      <c r="A923" s="21" t="s">
        <v>1092</v>
      </c>
      <c r="B923" s="21" t="s">
        <v>359</v>
      </c>
      <c r="C923" s="21" t="s">
        <v>75</v>
      </c>
      <c r="D923" s="21" t="s">
        <v>99</v>
      </c>
      <c r="E923" s="22" t="n">
        <v>14.4</v>
      </c>
      <c r="F923" s="22" t="n">
        <v>30.84</v>
      </c>
      <c r="G923" s="23" t="n">
        <v>233</v>
      </c>
      <c r="H923" s="23" t="n">
        <v>175</v>
      </c>
      <c r="I923" s="23" t="n">
        <f aca="false">G923-H923</f>
        <v>58</v>
      </c>
      <c r="J923" s="21" t="str">
        <f aca="false">IF(I923&lt;50,"LOW-IN-STOCK","IN-STOCK")</f>
        <v>IN-STOCK</v>
      </c>
      <c r="K923" s="22" t="n">
        <f aca="false">E923*G923</f>
        <v>3355.2</v>
      </c>
      <c r="L923" s="22" t="n">
        <f aca="false">F923*H923</f>
        <v>5397</v>
      </c>
      <c r="M923" s="22" t="n">
        <f aca="false">L923-K923</f>
        <v>2041.8</v>
      </c>
    </row>
    <row r="924" customFormat="false" ht="15" hidden="false" customHeight="false" outlineLevel="0" collapsed="false">
      <c r="A924" s="21" t="s">
        <v>1093</v>
      </c>
      <c r="B924" s="21" t="s">
        <v>246</v>
      </c>
      <c r="C924" s="21" t="s">
        <v>75</v>
      </c>
      <c r="D924" s="21" t="s">
        <v>99</v>
      </c>
      <c r="E924" s="22" t="n">
        <v>5.8</v>
      </c>
      <c r="F924" s="22" t="n">
        <v>12.41</v>
      </c>
      <c r="G924" s="23" t="n">
        <v>435</v>
      </c>
      <c r="H924" s="23" t="n">
        <v>402</v>
      </c>
      <c r="I924" s="23" t="n">
        <f aca="false">G924-H924</f>
        <v>33</v>
      </c>
      <c r="J924" s="21" t="str">
        <f aca="false">IF(I924&lt;50,"LOW-IN-STOCK","IN-STOCK")</f>
        <v>LOW-IN-STOCK</v>
      </c>
      <c r="K924" s="22" t="n">
        <f aca="false">E924*G924</f>
        <v>2523</v>
      </c>
      <c r="L924" s="22" t="n">
        <f aca="false">F924*H924</f>
        <v>4988.82</v>
      </c>
      <c r="M924" s="22" t="n">
        <f aca="false">L924-K924</f>
        <v>2465.82</v>
      </c>
    </row>
    <row r="925" customFormat="false" ht="15" hidden="false" customHeight="false" outlineLevel="0" collapsed="false">
      <c r="A925" s="21" t="s">
        <v>1094</v>
      </c>
      <c r="B925" s="21" t="s">
        <v>319</v>
      </c>
      <c r="C925" s="21" t="s">
        <v>113</v>
      </c>
      <c r="D925" s="21" t="s">
        <v>114</v>
      </c>
      <c r="E925" s="22" t="n">
        <v>31.92</v>
      </c>
      <c r="F925" s="22" t="n">
        <v>63.84</v>
      </c>
      <c r="G925" s="23" t="n">
        <v>434</v>
      </c>
      <c r="H925" s="23" t="n">
        <v>78</v>
      </c>
      <c r="I925" s="23" t="n">
        <f aca="false">G925-H925</f>
        <v>356</v>
      </c>
      <c r="J925" s="21" t="str">
        <f aca="false">IF(I925&lt;50,"LOW-IN-STOCK","IN-STOCK")</f>
        <v>IN-STOCK</v>
      </c>
      <c r="K925" s="22" t="n">
        <f aca="false">E925*G925</f>
        <v>13853.28</v>
      </c>
      <c r="L925" s="22" t="n">
        <f aca="false">F925*H925</f>
        <v>4979.52</v>
      </c>
      <c r="M925" s="22" t="n">
        <f aca="false">L925-K925</f>
        <v>-8873.76</v>
      </c>
    </row>
    <row r="926" customFormat="false" ht="15" hidden="false" customHeight="false" outlineLevel="0" collapsed="false">
      <c r="A926" s="21" t="s">
        <v>1095</v>
      </c>
      <c r="B926" s="21" t="s">
        <v>166</v>
      </c>
      <c r="C926" s="21" t="s">
        <v>93</v>
      </c>
      <c r="D926" s="21" t="s">
        <v>102</v>
      </c>
      <c r="E926" s="22" t="n">
        <v>10.48</v>
      </c>
      <c r="F926" s="22" t="n">
        <v>15.08</v>
      </c>
      <c r="G926" s="23" t="n">
        <v>405</v>
      </c>
      <c r="H926" s="23" t="n">
        <v>140</v>
      </c>
      <c r="I926" s="23" t="n">
        <f aca="false">G926-H926</f>
        <v>265</v>
      </c>
      <c r="J926" s="21" t="str">
        <f aca="false">IF(I926&lt;50,"LOW-IN-STOCK","IN-STOCK")</f>
        <v>IN-STOCK</v>
      </c>
      <c r="K926" s="22" t="n">
        <f aca="false">E926*G926</f>
        <v>4244.4</v>
      </c>
      <c r="L926" s="22" t="n">
        <f aca="false">F926*H926</f>
        <v>2111.2</v>
      </c>
      <c r="M926" s="22" t="n">
        <f aca="false">L926-K926</f>
        <v>-2133.2</v>
      </c>
    </row>
    <row r="927" customFormat="false" ht="15" hidden="false" customHeight="false" outlineLevel="0" collapsed="false">
      <c r="A927" s="21" t="s">
        <v>1096</v>
      </c>
      <c r="B927" s="21" t="s">
        <v>246</v>
      </c>
      <c r="C927" s="21" t="s">
        <v>75</v>
      </c>
      <c r="D927" s="21" t="s">
        <v>76</v>
      </c>
      <c r="E927" s="22" t="n">
        <v>8.65</v>
      </c>
      <c r="F927" s="22" t="n">
        <v>13.72</v>
      </c>
      <c r="G927" s="23" t="n">
        <v>463</v>
      </c>
      <c r="H927" s="23" t="n">
        <v>112</v>
      </c>
      <c r="I927" s="23" t="n">
        <f aca="false">G927-H927</f>
        <v>351</v>
      </c>
      <c r="J927" s="21" t="str">
        <f aca="false">IF(I927&lt;50,"LOW-IN-STOCK","IN-STOCK")</f>
        <v>IN-STOCK</v>
      </c>
      <c r="K927" s="22" t="n">
        <f aca="false">E927*G927</f>
        <v>4004.95</v>
      </c>
      <c r="L927" s="22" t="n">
        <f aca="false">F927*H927</f>
        <v>1536.64</v>
      </c>
      <c r="M927" s="22" t="n">
        <f aca="false">L927-K927</f>
        <v>-2468.31</v>
      </c>
    </row>
    <row r="928" customFormat="false" ht="15" hidden="false" customHeight="false" outlineLevel="0" collapsed="false">
      <c r="A928" s="21" t="s">
        <v>1097</v>
      </c>
      <c r="B928" s="21" t="s">
        <v>289</v>
      </c>
      <c r="C928" s="21" t="s">
        <v>148</v>
      </c>
      <c r="D928" s="21" t="s">
        <v>99</v>
      </c>
      <c r="E928" s="22" t="n">
        <v>30.55</v>
      </c>
      <c r="F928" s="22" t="n">
        <v>48.57</v>
      </c>
      <c r="G928" s="23" t="n">
        <v>171</v>
      </c>
      <c r="H928" s="23" t="n">
        <v>76</v>
      </c>
      <c r="I928" s="23" t="n">
        <f aca="false">G928-H928</f>
        <v>95</v>
      </c>
      <c r="J928" s="21" t="str">
        <f aca="false">IF(I928&lt;50,"LOW-IN-STOCK","IN-STOCK")</f>
        <v>IN-STOCK</v>
      </c>
      <c r="K928" s="22" t="n">
        <f aca="false">E928*G928</f>
        <v>5224.05</v>
      </c>
      <c r="L928" s="22" t="n">
        <f aca="false">F928*H928</f>
        <v>3691.32</v>
      </c>
      <c r="M928" s="22" t="n">
        <f aca="false">L928-K928</f>
        <v>-1532.73</v>
      </c>
    </row>
    <row r="929" customFormat="false" ht="15" hidden="false" customHeight="false" outlineLevel="0" collapsed="false">
      <c r="A929" s="21" t="s">
        <v>1098</v>
      </c>
      <c r="B929" s="21" t="s">
        <v>101</v>
      </c>
      <c r="C929" s="21" t="s">
        <v>83</v>
      </c>
      <c r="D929" s="21" t="s">
        <v>76</v>
      </c>
      <c r="E929" s="22" t="n">
        <v>6.88</v>
      </c>
      <c r="F929" s="22" t="n">
        <v>12.41</v>
      </c>
      <c r="G929" s="23" t="n">
        <v>471</v>
      </c>
      <c r="H929" s="23" t="n">
        <v>130</v>
      </c>
      <c r="I929" s="23" t="n">
        <f aca="false">G929-H929</f>
        <v>341</v>
      </c>
      <c r="J929" s="21" t="str">
        <f aca="false">IF(I929&lt;50,"LOW-IN-STOCK","IN-STOCK")</f>
        <v>IN-STOCK</v>
      </c>
      <c r="K929" s="22" t="n">
        <f aca="false">E929*G929</f>
        <v>3240.48</v>
      </c>
      <c r="L929" s="22" t="n">
        <f aca="false">F929*H929</f>
        <v>1613.3</v>
      </c>
      <c r="M929" s="22" t="n">
        <f aca="false">L929-K929</f>
        <v>-1627.18</v>
      </c>
    </row>
    <row r="930" customFormat="false" ht="15" hidden="false" customHeight="false" outlineLevel="0" collapsed="false">
      <c r="A930" s="21" t="s">
        <v>1099</v>
      </c>
      <c r="B930" s="21" t="s">
        <v>164</v>
      </c>
      <c r="C930" s="21" t="s">
        <v>93</v>
      </c>
      <c r="D930" s="21" t="s">
        <v>137</v>
      </c>
      <c r="E930" s="22" t="n">
        <v>9.31</v>
      </c>
      <c r="F930" s="22" t="n">
        <v>17.27</v>
      </c>
      <c r="G930" s="23" t="n">
        <v>373</v>
      </c>
      <c r="H930" s="23" t="n">
        <v>197</v>
      </c>
      <c r="I930" s="23" t="n">
        <f aca="false">G930-H930</f>
        <v>176</v>
      </c>
      <c r="J930" s="21" t="str">
        <f aca="false">IF(I930&lt;50,"LOW-IN-STOCK","IN-STOCK")</f>
        <v>IN-STOCK</v>
      </c>
      <c r="K930" s="22" t="n">
        <f aca="false">E930*G930</f>
        <v>3472.63</v>
      </c>
      <c r="L930" s="22" t="n">
        <f aca="false">F930*H930</f>
        <v>3402.19</v>
      </c>
      <c r="M930" s="22" t="n">
        <f aca="false">L930-K930</f>
        <v>-70.4400000000001</v>
      </c>
    </row>
    <row r="931" customFormat="false" ht="15" hidden="false" customHeight="false" outlineLevel="0" collapsed="false">
      <c r="A931" s="21" t="s">
        <v>1100</v>
      </c>
      <c r="B931" s="21" t="s">
        <v>166</v>
      </c>
      <c r="C931" s="21" t="s">
        <v>93</v>
      </c>
      <c r="D931" s="21" t="s">
        <v>114</v>
      </c>
      <c r="E931" s="22" t="n">
        <v>4.15</v>
      </c>
      <c r="F931" s="22" t="n">
        <v>7.02</v>
      </c>
      <c r="G931" s="23" t="n">
        <v>391</v>
      </c>
      <c r="H931" s="23" t="n">
        <v>56</v>
      </c>
      <c r="I931" s="23" t="n">
        <f aca="false">G931-H931</f>
        <v>335</v>
      </c>
      <c r="J931" s="21" t="str">
        <f aca="false">IF(I931&lt;50,"LOW-IN-STOCK","IN-STOCK")</f>
        <v>IN-STOCK</v>
      </c>
      <c r="K931" s="22" t="n">
        <f aca="false">E931*G931</f>
        <v>1622.65</v>
      </c>
      <c r="L931" s="22" t="n">
        <f aca="false">F931*H931</f>
        <v>393.12</v>
      </c>
      <c r="M931" s="22" t="n">
        <f aca="false">L931-K931</f>
        <v>-1229.53</v>
      </c>
    </row>
    <row r="932" customFormat="false" ht="15" hidden="false" customHeight="false" outlineLevel="0" collapsed="false">
      <c r="A932" s="21" t="s">
        <v>1101</v>
      </c>
      <c r="B932" s="21" t="s">
        <v>95</v>
      </c>
      <c r="C932" s="21" t="s">
        <v>75</v>
      </c>
      <c r="D932" s="21" t="s">
        <v>76</v>
      </c>
      <c r="E932" s="22" t="n">
        <v>3.14</v>
      </c>
      <c r="F932" s="22" t="n">
        <v>6.34</v>
      </c>
      <c r="G932" s="23" t="n">
        <v>247</v>
      </c>
      <c r="H932" s="23" t="n">
        <v>83</v>
      </c>
      <c r="I932" s="23" t="n">
        <f aca="false">G932-H932</f>
        <v>164</v>
      </c>
      <c r="J932" s="21" t="str">
        <f aca="false">IF(I932&lt;50,"LOW-IN-STOCK","IN-STOCK")</f>
        <v>IN-STOCK</v>
      </c>
      <c r="K932" s="22" t="n">
        <f aca="false">E932*G932</f>
        <v>775.58</v>
      </c>
      <c r="L932" s="22" t="n">
        <f aca="false">F932*H932</f>
        <v>526.22</v>
      </c>
      <c r="M932" s="22" t="n">
        <f aca="false">L932-K932</f>
        <v>-249.36</v>
      </c>
    </row>
    <row r="933" customFormat="false" ht="15" hidden="false" customHeight="false" outlineLevel="0" collapsed="false">
      <c r="A933" s="21" t="s">
        <v>1102</v>
      </c>
      <c r="B933" s="21" t="s">
        <v>154</v>
      </c>
      <c r="C933" s="21" t="s">
        <v>93</v>
      </c>
      <c r="D933" s="21" t="s">
        <v>108</v>
      </c>
      <c r="E933" s="22" t="n">
        <v>10.45</v>
      </c>
      <c r="F933" s="22" t="n">
        <v>14.7</v>
      </c>
      <c r="G933" s="23" t="n">
        <v>448</v>
      </c>
      <c r="H933" s="23" t="n">
        <v>417</v>
      </c>
      <c r="I933" s="23" t="n">
        <f aca="false">G933-H933</f>
        <v>31</v>
      </c>
      <c r="J933" s="21" t="str">
        <f aca="false">IF(I933&lt;50,"LOW-IN-STOCK","IN-STOCK")</f>
        <v>LOW-IN-STOCK</v>
      </c>
      <c r="K933" s="22" t="n">
        <f aca="false">E933*G933</f>
        <v>4681.6</v>
      </c>
      <c r="L933" s="22" t="n">
        <f aca="false">F933*H933</f>
        <v>6129.9</v>
      </c>
      <c r="M933" s="22" t="n">
        <f aca="false">L933-K933</f>
        <v>1448.3</v>
      </c>
    </row>
    <row r="934" customFormat="false" ht="15" hidden="false" customHeight="false" outlineLevel="0" collapsed="false">
      <c r="A934" s="21" t="s">
        <v>1103</v>
      </c>
      <c r="B934" s="21" t="s">
        <v>207</v>
      </c>
      <c r="C934" s="21" t="s">
        <v>93</v>
      </c>
      <c r="D934" s="21" t="s">
        <v>76</v>
      </c>
      <c r="E934" s="22" t="n">
        <v>7.73</v>
      </c>
      <c r="F934" s="22" t="n">
        <v>13.75</v>
      </c>
      <c r="G934" s="23" t="n">
        <v>55</v>
      </c>
      <c r="H934" s="23" t="n">
        <v>42</v>
      </c>
      <c r="I934" s="23" t="n">
        <f aca="false">G934-H934</f>
        <v>13</v>
      </c>
      <c r="J934" s="21" t="str">
        <f aca="false">IF(I934&lt;50,"LOW-IN-STOCK","IN-STOCK")</f>
        <v>LOW-IN-STOCK</v>
      </c>
      <c r="K934" s="22" t="n">
        <f aca="false">E934*G934</f>
        <v>425.15</v>
      </c>
      <c r="L934" s="22" t="n">
        <f aca="false">F934*H934</f>
        <v>577.5</v>
      </c>
      <c r="M934" s="22" t="n">
        <f aca="false">L934-K934</f>
        <v>152.35</v>
      </c>
    </row>
    <row r="935" customFormat="false" ht="15" hidden="false" customHeight="false" outlineLevel="0" collapsed="false">
      <c r="A935" s="21" t="s">
        <v>1104</v>
      </c>
      <c r="B935" s="21" t="s">
        <v>118</v>
      </c>
      <c r="C935" s="21" t="s">
        <v>79</v>
      </c>
      <c r="D935" s="21" t="s">
        <v>84</v>
      </c>
      <c r="E935" s="22" t="n">
        <v>3.96</v>
      </c>
      <c r="F935" s="22" t="n">
        <v>6.32</v>
      </c>
      <c r="G935" s="23" t="n">
        <v>233</v>
      </c>
      <c r="H935" s="23" t="n">
        <v>123</v>
      </c>
      <c r="I935" s="23" t="n">
        <f aca="false">G935-H935</f>
        <v>110</v>
      </c>
      <c r="J935" s="21" t="str">
        <f aca="false">IF(I935&lt;50,"LOW-IN-STOCK","IN-STOCK")</f>
        <v>IN-STOCK</v>
      </c>
      <c r="K935" s="22" t="n">
        <f aca="false">E935*G935</f>
        <v>922.68</v>
      </c>
      <c r="L935" s="22" t="n">
        <f aca="false">F935*H935</f>
        <v>777.36</v>
      </c>
      <c r="M935" s="22" t="n">
        <f aca="false">L935-K935</f>
        <v>-145.32</v>
      </c>
    </row>
    <row r="936" customFormat="false" ht="15" hidden="false" customHeight="false" outlineLevel="0" collapsed="false">
      <c r="A936" s="21" t="s">
        <v>1105</v>
      </c>
      <c r="B936" s="21" t="s">
        <v>164</v>
      </c>
      <c r="C936" s="21" t="s">
        <v>93</v>
      </c>
      <c r="D936" s="21" t="s">
        <v>80</v>
      </c>
      <c r="E936" s="22" t="n">
        <v>10.32</v>
      </c>
      <c r="F936" s="22" t="n">
        <v>19.71</v>
      </c>
      <c r="G936" s="23" t="n">
        <v>160</v>
      </c>
      <c r="H936" s="23" t="n">
        <v>45</v>
      </c>
      <c r="I936" s="23" t="n">
        <f aca="false">G936-H936</f>
        <v>115</v>
      </c>
      <c r="J936" s="21" t="str">
        <f aca="false">IF(I936&lt;50,"LOW-IN-STOCK","IN-STOCK")</f>
        <v>IN-STOCK</v>
      </c>
      <c r="K936" s="22" t="n">
        <f aca="false">E936*G936</f>
        <v>1651.2</v>
      </c>
      <c r="L936" s="22" t="n">
        <f aca="false">F936*H936</f>
        <v>886.95</v>
      </c>
      <c r="M936" s="22" t="n">
        <f aca="false">L936-K936</f>
        <v>-764.25</v>
      </c>
    </row>
    <row r="937" customFormat="false" ht="15" hidden="false" customHeight="false" outlineLevel="0" collapsed="false">
      <c r="A937" s="21" t="s">
        <v>1106</v>
      </c>
      <c r="B937" s="21" t="s">
        <v>232</v>
      </c>
      <c r="C937" s="21" t="s">
        <v>79</v>
      </c>
      <c r="D937" s="21" t="s">
        <v>160</v>
      </c>
      <c r="E937" s="22" t="n">
        <v>12.94</v>
      </c>
      <c r="F937" s="22" t="n">
        <v>24.49</v>
      </c>
      <c r="G937" s="23" t="n">
        <v>166</v>
      </c>
      <c r="H937" s="23" t="n">
        <v>47</v>
      </c>
      <c r="I937" s="23" t="n">
        <f aca="false">G937-H937</f>
        <v>119</v>
      </c>
      <c r="J937" s="21" t="str">
        <f aca="false">IF(I937&lt;50,"LOW-IN-STOCK","IN-STOCK")</f>
        <v>IN-STOCK</v>
      </c>
      <c r="K937" s="22" t="n">
        <f aca="false">E937*G937</f>
        <v>2148.04</v>
      </c>
      <c r="L937" s="22" t="n">
        <f aca="false">F937*H937</f>
        <v>1151.03</v>
      </c>
      <c r="M937" s="22" t="n">
        <f aca="false">L937-K937</f>
        <v>-997.01</v>
      </c>
    </row>
    <row r="938" customFormat="false" ht="15" hidden="false" customHeight="false" outlineLevel="0" collapsed="false">
      <c r="A938" s="21" t="s">
        <v>1107</v>
      </c>
      <c r="B938" s="21" t="s">
        <v>232</v>
      </c>
      <c r="C938" s="21" t="s">
        <v>79</v>
      </c>
      <c r="D938" s="21" t="s">
        <v>76</v>
      </c>
      <c r="E938" s="22" t="n">
        <v>13.62</v>
      </c>
      <c r="F938" s="22" t="n">
        <v>25.36</v>
      </c>
      <c r="G938" s="23" t="n">
        <v>92</v>
      </c>
      <c r="H938" s="23" t="n">
        <v>67</v>
      </c>
      <c r="I938" s="23" t="n">
        <f aca="false">G938-H938</f>
        <v>25</v>
      </c>
      <c r="J938" s="21" t="str">
        <f aca="false">IF(I938&lt;50,"LOW-IN-STOCK","IN-STOCK")</f>
        <v>LOW-IN-STOCK</v>
      </c>
      <c r="K938" s="22" t="n">
        <f aca="false">E938*G938</f>
        <v>1253.04</v>
      </c>
      <c r="L938" s="22" t="n">
        <f aca="false">F938*H938</f>
        <v>1699.12</v>
      </c>
      <c r="M938" s="22" t="n">
        <f aca="false">L938-K938</f>
        <v>446.08</v>
      </c>
    </row>
    <row r="939" customFormat="false" ht="15" hidden="false" customHeight="false" outlineLevel="0" collapsed="false">
      <c r="A939" s="21" t="s">
        <v>1108</v>
      </c>
      <c r="B939" s="21" t="s">
        <v>157</v>
      </c>
      <c r="C939" s="21" t="s">
        <v>113</v>
      </c>
      <c r="D939" s="21" t="s">
        <v>137</v>
      </c>
      <c r="E939" s="22" t="n">
        <v>21.08</v>
      </c>
      <c r="F939" s="22" t="n">
        <v>43.85</v>
      </c>
      <c r="G939" s="23" t="n">
        <v>93</v>
      </c>
      <c r="H939" s="23" t="n">
        <v>53</v>
      </c>
      <c r="I939" s="23" t="n">
        <f aca="false">G939-H939</f>
        <v>40</v>
      </c>
      <c r="J939" s="21" t="str">
        <f aca="false">IF(I939&lt;50,"LOW-IN-STOCK","IN-STOCK")</f>
        <v>LOW-IN-STOCK</v>
      </c>
      <c r="K939" s="22" t="n">
        <f aca="false">E939*G939</f>
        <v>1960.44</v>
      </c>
      <c r="L939" s="22" t="n">
        <f aca="false">F939*H939</f>
        <v>2324.05</v>
      </c>
      <c r="M939" s="22" t="n">
        <f aca="false">L939-K939</f>
        <v>363.61</v>
      </c>
    </row>
    <row r="940" customFormat="false" ht="15" hidden="false" customHeight="false" outlineLevel="0" collapsed="false">
      <c r="A940" s="21" t="s">
        <v>1109</v>
      </c>
      <c r="B940" s="21" t="s">
        <v>145</v>
      </c>
      <c r="C940" s="21" t="s">
        <v>87</v>
      </c>
      <c r="D940" s="21" t="s">
        <v>99</v>
      </c>
      <c r="E940" s="22" t="n">
        <v>3.9</v>
      </c>
      <c r="F940" s="22" t="n">
        <v>7.15</v>
      </c>
      <c r="G940" s="23" t="n">
        <v>499</v>
      </c>
      <c r="H940" s="23" t="n">
        <v>180</v>
      </c>
      <c r="I940" s="23" t="n">
        <f aca="false">G940-H940</f>
        <v>319</v>
      </c>
      <c r="J940" s="21" t="str">
        <f aca="false">IF(I940&lt;50,"LOW-IN-STOCK","IN-STOCK")</f>
        <v>IN-STOCK</v>
      </c>
      <c r="K940" s="22" t="n">
        <f aca="false">E940*G940</f>
        <v>1946.1</v>
      </c>
      <c r="L940" s="22" t="n">
        <f aca="false">F940*H940</f>
        <v>1287</v>
      </c>
      <c r="M940" s="22" t="n">
        <f aca="false">L940-K940</f>
        <v>-659.1</v>
      </c>
    </row>
    <row r="941" customFormat="false" ht="15" hidden="false" customHeight="false" outlineLevel="0" collapsed="false">
      <c r="A941" s="21" t="s">
        <v>1110</v>
      </c>
      <c r="B941" s="21" t="s">
        <v>209</v>
      </c>
      <c r="C941" s="21" t="s">
        <v>107</v>
      </c>
      <c r="D941" s="21" t="s">
        <v>102</v>
      </c>
      <c r="E941" s="22" t="n">
        <v>8.91</v>
      </c>
      <c r="F941" s="22" t="n">
        <v>13.27</v>
      </c>
      <c r="G941" s="23" t="n">
        <v>273</v>
      </c>
      <c r="H941" s="23" t="n">
        <v>185</v>
      </c>
      <c r="I941" s="23" t="n">
        <f aca="false">G941-H941</f>
        <v>88</v>
      </c>
      <c r="J941" s="21" t="str">
        <f aca="false">IF(I941&lt;50,"LOW-IN-STOCK","IN-STOCK")</f>
        <v>IN-STOCK</v>
      </c>
      <c r="K941" s="22" t="n">
        <f aca="false">E941*G941</f>
        <v>2432.43</v>
      </c>
      <c r="L941" s="22" t="n">
        <f aca="false">F941*H941</f>
        <v>2454.95</v>
      </c>
      <c r="M941" s="22" t="n">
        <f aca="false">L941-K941</f>
        <v>22.52</v>
      </c>
    </row>
    <row r="942" customFormat="false" ht="15" hidden="false" customHeight="false" outlineLevel="0" collapsed="false">
      <c r="A942" s="21" t="s">
        <v>1111</v>
      </c>
      <c r="B942" s="21" t="s">
        <v>126</v>
      </c>
      <c r="C942" s="21" t="s">
        <v>79</v>
      </c>
      <c r="D942" s="21" t="s">
        <v>137</v>
      </c>
      <c r="E942" s="22" t="n">
        <v>15.95</v>
      </c>
      <c r="F942" s="22" t="n">
        <v>34.3</v>
      </c>
      <c r="G942" s="23" t="n">
        <v>297</v>
      </c>
      <c r="H942" s="23" t="n">
        <v>140</v>
      </c>
      <c r="I942" s="23" t="n">
        <f aca="false">G942-H942</f>
        <v>157</v>
      </c>
      <c r="J942" s="21" t="str">
        <f aca="false">IF(I942&lt;50,"LOW-IN-STOCK","IN-STOCK")</f>
        <v>IN-STOCK</v>
      </c>
      <c r="K942" s="22" t="n">
        <f aca="false">E942*G942</f>
        <v>4737.15</v>
      </c>
      <c r="L942" s="22" t="n">
        <f aca="false">F942*H942</f>
        <v>4802</v>
      </c>
      <c r="M942" s="22" t="n">
        <f aca="false">L942-K942</f>
        <v>64.8500000000004</v>
      </c>
    </row>
    <row r="943" customFormat="false" ht="15" hidden="false" customHeight="false" outlineLevel="0" collapsed="false">
      <c r="A943" s="21" t="s">
        <v>1112</v>
      </c>
      <c r="B943" s="21" t="s">
        <v>246</v>
      </c>
      <c r="C943" s="21" t="s">
        <v>75</v>
      </c>
      <c r="D943" s="21" t="s">
        <v>84</v>
      </c>
      <c r="E943" s="22" t="n">
        <v>10.95</v>
      </c>
      <c r="F943" s="22" t="n">
        <v>21.56</v>
      </c>
      <c r="G943" s="23" t="n">
        <v>446</v>
      </c>
      <c r="H943" s="23" t="n">
        <v>122</v>
      </c>
      <c r="I943" s="23" t="n">
        <f aca="false">G943-H943</f>
        <v>324</v>
      </c>
      <c r="J943" s="21" t="str">
        <f aca="false">IF(I943&lt;50,"LOW-IN-STOCK","IN-STOCK")</f>
        <v>IN-STOCK</v>
      </c>
      <c r="K943" s="22" t="n">
        <f aca="false">E943*G943</f>
        <v>4883.7</v>
      </c>
      <c r="L943" s="22" t="n">
        <f aca="false">F943*H943</f>
        <v>2630.32</v>
      </c>
      <c r="M943" s="22" t="n">
        <f aca="false">L943-K943</f>
        <v>-2253.38</v>
      </c>
    </row>
    <row r="944" customFormat="false" ht="15" hidden="false" customHeight="false" outlineLevel="0" collapsed="false">
      <c r="A944" s="21" t="s">
        <v>1113</v>
      </c>
      <c r="B944" s="21" t="s">
        <v>152</v>
      </c>
      <c r="C944" s="21" t="s">
        <v>87</v>
      </c>
      <c r="D944" s="21" t="s">
        <v>99</v>
      </c>
      <c r="E944" s="22" t="n">
        <v>17.86</v>
      </c>
      <c r="F944" s="22" t="n">
        <v>31.37</v>
      </c>
      <c r="G944" s="23" t="n">
        <v>58</v>
      </c>
      <c r="H944" s="23" t="n">
        <v>9</v>
      </c>
      <c r="I944" s="23" t="n">
        <f aca="false">G944-H944</f>
        <v>49</v>
      </c>
      <c r="J944" s="21" t="str">
        <f aca="false">IF(I944&lt;50,"LOW-IN-STOCK","IN-STOCK")</f>
        <v>LOW-IN-STOCK</v>
      </c>
      <c r="K944" s="22" t="n">
        <f aca="false">E944*G944</f>
        <v>1035.88</v>
      </c>
      <c r="L944" s="22" t="n">
        <f aca="false">F944*H944</f>
        <v>282.33</v>
      </c>
      <c r="M944" s="22" t="n">
        <f aca="false">L944-K944</f>
        <v>-753.55</v>
      </c>
    </row>
    <row r="945" customFormat="false" ht="15" hidden="false" customHeight="false" outlineLevel="0" collapsed="false">
      <c r="A945" s="21" t="s">
        <v>1114</v>
      </c>
      <c r="B945" s="21" t="s">
        <v>216</v>
      </c>
      <c r="C945" s="21" t="s">
        <v>107</v>
      </c>
      <c r="D945" s="21" t="s">
        <v>114</v>
      </c>
      <c r="E945" s="22" t="n">
        <v>13.27</v>
      </c>
      <c r="F945" s="22" t="n">
        <v>24.83</v>
      </c>
      <c r="G945" s="23" t="n">
        <v>346</v>
      </c>
      <c r="H945" s="23" t="n">
        <v>58</v>
      </c>
      <c r="I945" s="23" t="n">
        <f aca="false">G945-H945</f>
        <v>288</v>
      </c>
      <c r="J945" s="21" t="str">
        <f aca="false">IF(I945&lt;50,"LOW-IN-STOCK","IN-STOCK")</f>
        <v>IN-STOCK</v>
      </c>
      <c r="K945" s="22" t="n">
        <f aca="false">E945*G945</f>
        <v>4591.42</v>
      </c>
      <c r="L945" s="22" t="n">
        <f aca="false">F945*H945</f>
        <v>1440.14</v>
      </c>
      <c r="M945" s="22" t="n">
        <f aca="false">L945-K945</f>
        <v>-3151.28</v>
      </c>
    </row>
    <row r="946" customFormat="false" ht="15" hidden="false" customHeight="false" outlineLevel="0" collapsed="false">
      <c r="A946" s="21" t="s">
        <v>1115</v>
      </c>
      <c r="B946" s="21" t="s">
        <v>213</v>
      </c>
      <c r="C946" s="21" t="s">
        <v>87</v>
      </c>
      <c r="D946" s="21" t="s">
        <v>114</v>
      </c>
      <c r="E946" s="22" t="n">
        <v>13.35</v>
      </c>
      <c r="F946" s="22" t="n">
        <v>27.84</v>
      </c>
      <c r="G946" s="23" t="n">
        <v>126</v>
      </c>
      <c r="H946" s="23" t="n">
        <v>53</v>
      </c>
      <c r="I946" s="23" t="n">
        <f aca="false">G946-H946</f>
        <v>73</v>
      </c>
      <c r="J946" s="21" t="str">
        <f aca="false">IF(I946&lt;50,"LOW-IN-STOCK","IN-STOCK")</f>
        <v>IN-STOCK</v>
      </c>
      <c r="K946" s="22" t="n">
        <f aca="false">E946*G946</f>
        <v>1682.1</v>
      </c>
      <c r="L946" s="22" t="n">
        <f aca="false">F946*H946</f>
        <v>1475.52</v>
      </c>
      <c r="M946" s="22" t="n">
        <f aca="false">L946-K946</f>
        <v>-206.58</v>
      </c>
    </row>
    <row r="947" customFormat="false" ht="15" hidden="false" customHeight="false" outlineLevel="0" collapsed="false">
      <c r="A947" s="21" t="s">
        <v>1116</v>
      </c>
      <c r="B947" s="21" t="s">
        <v>179</v>
      </c>
      <c r="C947" s="21" t="s">
        <v>93</v>
      </c>
      <c r="D947" s="21" t="s">
        <v>88</v>
      </c>
      <c r="E947" s="22" t="n">
        <v>5.93</v>
      </c>
      <c r="F947" s="22" t="n">
        <v>10.28</v>
      </c>
      <c r="G947" s="23" t="n">
        <v>211</v>
      </c>
      <c r="H947" s="23" t="n">
        <v>88</v>
      </c>
      <c r="I947" s="23" t="n">
        <f aca="false">G947-H947</f>
        <v>123</v>
      </c>
      <c r="J947" s="21" t="str">
        <f aca="false">IF(I947&lt;50,"LOW-IN-STOCK","IN-STOCK")</f>
        <v>IN-STOCK</v>
      </c>
      <c r="K947" s="22" t="n">
        <f aca="false">E947*G947</f>
        <v>1251.23</v>
      </c>
      <c r="L947" s="22" t="n">
        <f aca="false">F947*H947</f>
        <v>904.64</v>
      </c>
      <c r="M947" s="22" t="n">
        <f aca="false">L947-K947</f>
        <v>-346.59</v>
      </c>
    </row>
    <row r="948" customFormat="false" ht="15" hidden="false" customHeight="false" outlineLevel="0" collapsed="false">
      <c r="A948" s="21" t="s">
        <v>1117</v>
      </c>
      <c r="B948" s="21" t="s">
        <v>150</v>
      </c>
      <c r="C948" s="21" t="s">
        <v>148</v>
      </c>
      <c r="D948" s="21" t="s">
        <v>137</v>
      </c>
      <c r="E948" s="22" t="n">
        <v>22.56</v>
      </c>
      <c r="F948" s="22" t="n">
        <v>43.91</v>
      </c>
      <c r="G948" s="23" t="n">
        <v>159</v>
      </c>
      <c r="H948" s="23" t="n">
        <v>87</v>
      </c>
      <c r="I948" s="23" t="n">
        <f aca="false">G948-H948</f>
        <v>72</v>
      </c>
      <c r="J948" s="21" t="str">
        <f aca="false">IF(I948&lt;50,"LOW-IN-STOCK","IN-STOCK")</f>
        <v>IN-STOCK</v>
      </c>
      <c r="K948" s="22" t="n">
        <f aca="false">E948*G948</f>
        <v>3587.04</v>
      </c>
      <c r="L948" s="22" t="n">
        <f aca="false">F948*H948</f>
        <v>3820.17</v>
      </c>
      <c r="M948" s="22" t="n">
        <f aca="false">L948-K948</f>
        <v>233.13</v>
      </c>
    </row>
    <row r="949" customFormat="false" ht="15" hidden="false" customHeight="false" outlineLevel="0" collapsed="false">
      <c r="A949" s="21" t="s">
        <v>1118</v>
      </c>
      <c r="B949" s="21" t="s">
        <v>243</v>
      </c>
      <c r="C949" s="21" t="s">
        <v>113</v>
      </c>
      <c r="D949" s="21" t="s">
        <v>114</v>
      </c>
      <c r="E949" s="22" t="n">
        <v>30</v>
      </c>
      <c r="F949" s="22" t="n">
        <v>55.75</v>
      </c>
      <c r="G949" s="23" t="n">
        <v>329</v>
      </c>
      <c r="H949" s="23" t="n">
        <v>56</v>
      </c>
      <c r="I949" s="23" t="n">
        <f aca="false">G949-H949</f>
        <v>273</v>
      </c>
      <c r="J949" s="21" t="str">
        <f aca="false">IF(I949&lt;50,"LOW-IN-STOCK","IN-STOCK")</f>
        <v>IN-STOCK</v>
      </c>
      <c r="K949" s="22" t="n">
        <f aca="false">E949*G949</f>
        <v>9870</v>
      </c>
      <c r="L949" s="22" t="n">
        <f aca="false">F949*H949</f>
        <v>3122</v>
      </c>
      <c r="M949" s="22" t="n">
        <f aca="false">L949-K949</f>
        <v>-6748</v>
      </c>
    </row>
    <row r="950" customFormat="false" ht="15" hidden="false" customHeight="false" outlineLevel="0" collapsed="false">
      <c r="A950" s="21" t="s">
        <v>1119</v>
      </c>
      <c r="B950" s="21" t="s">
        <v>481</v>
      </c>
      <c r="C950" s="21" t="s">
        <v>93</v>
      </c>
      <c r="D950" s="21" t="s">
        <v>114</v>
      </c>
      <c r="E950" s="22" t="n">
        <v>11.35</v>
      </c>
      <c r="F950" s="22" t="n">
        <v>15.94</v>
      </c>
      <c r="G950" s="23" t="n">
        <v>126</v>
      </c>
      <c r="H950" s="23" t="n">
        <v>70</v>
      </c>
      <c r="I950" s="23" t="n">
        <f aca="false">G950-H950</f>
        <v>56</v>
      </c>
      <c r="J950" s="21" t="str">
        <f aca="false">IF(I950&lt;50,"LOW-IN-STOCK","IN-STOCK")</f>
        <v>IN-STOCK</v>
      </c>
      <c r="K950" s="22" t="n">
        <f aca="false">E950*G950</f>
        <v>1430.1</v>
      </c>
      <c r="L950" s="22" t="n">
        <f aca="false">F950*H950</f>
        <v>1115.8</v>
      </c>
      <c r="M950" s="22" t="n">
        <f aca="false">L950-K950</f>
        <v>-314.3</v>
      </c>
    </row>
    <row r="951" customFormat="false" ht="15" hidden="false" customHeight="false" outlineLevel="0" collapsed="false">
      <c r="A951" s="21" t="s">
        <v>1120</v>
      </c>
      <c r="B951" s="21" t="s">
        <v>150</v>
      </c>
      <c r="C951" s="21" t="s">
        <v>148</v>
      </c>
      <c r="D951" s="21" t="s">
        <v>88</v>
      </c>
      <c r="E951" s="22" t="n">
        <v>8.05</v>
      </c>
      <c r="F951" s="22" t="n">
        <v>13.63</v>
      </c>
      <c r="G951" s="23" t="n">
        <v>115</v>
      </c>
      <c r="H951" s="23" t="n">
        <v>105</v>
      </c>
      <c r="I951" s="23" t="n">
        <f aca="false">G951-H951</f>
        <v>10</v>
      </c>
      <c r="J951" s="21" t="str">
        <f aca="false">IF(I951&lt;50,"LOW-IN-STOCK","IN-STOCK")</f>
        <v>LOW-IN-STOCK</v>
      </c>
      <c r="K951" s="22" t="n">
        <f aca="false">E951*G951</f>
        <v>925.75</v>
      </c>
      <c r="L951" s="22" t="n">
        <f aca="false">F951*H951</f>
        <v>1431.15</v>
      </c>
      <c r="M951" s="22" t="n">
        <f aca="false">L951-K951</f>
        <v>505.4</v>
      </c>
    </row>
    <row r="952" customFormat="false" ht="15" hidden="false" customHeight="false" outlineLevel="0" collapsed="false">
      <c r="A952" s="21" t="s">
        <v>1121</v>
      </c>
      <c r="B952" s="21" t="s">
        <v>216</v>
      </c>
      <c r="C952" s="21" t="s">
        <v>107</v>
      </c>
      <c r="D952" s="21" t="s">
        <v>114</v>
      </c>
      <c r="E952" s="22" t="n">
        <v>0.52</v>
      </c>
      <c r="F952" s="22" t="n">
        <v>1.07</v>
      </c>
      <c r="G952" s="23" t="n">
        <v>331</v>
      </c>
      <c r="H952" s="23" t="n">
        <v>59</v>
      </c>
      <c r="I952" s="23" t="n">
        <f aca="false">G952-H952</f>
        <v>272</v>
      </c>
      <c r="J952" s="21" t="str">
        <f aca="false">IF(I952&lt;50,"LOW-IN-STOCK","IN-STOCK")</f>
        <v>IN-STOCK</v>
      </c>
      <c r="K952" s="22" t="n">
        <f aca="false">E952*G952</f>
        <v>172.12</v>
      </c>
      <c r="L952" s="22" t="n">
        <f aca="false">F952*H952</f>
        <v>63.13</v>
      </c>
      <c r="M952" s="22" t="n">
        <f aca="false">L952-K952</f>
        <v>-108.99</v>
      </c>
    </row>
    <row r="953" customFormat="false" ht="15" hidden="false" customHeight="false" outlineLevel="0" collapsed="false">
      <c r="A953" s="21" t="s">
        <v>1122</v>
      </c>
      <c r="B953" s="21" t="s">
        <v>139</v>
      </c>
      <c r="C953" s="21" t="s">
        <v>75</v>
      </c>
      <c r="D953" s="21" t="s">
        <v>114</v>
      </c>
      <c r="E953" s="22" t="n">
        <v>27.24</v>
      </c>
      <c r="F953" s="22" t="n">
        <v>52.15</v>
      </c>
      <c r="G953" s="23" t="n">
        <v>53</v>
      </c>
      <c r="H953" s="23" t="n">
        <v>19</v>
      </c>
      <c r="I953" s="23" t="n">
        <f aca="false">G953-H953</f>
        <v>34</v>
      </c>
      <c r="J953" s="21" t="str">
        <f aca="false">IF(I953&lt;50,"LOW-IN-STOCK","IN-STOCK")</f>
        <v>LOW-IN-STOCK</v>
      </c>
      <c r="K953" s="22" t="n">
        <f aca="false">E953*G953</f>
        <v>1443.72</v>
      </c>
      <c r="L953" s="22" t="n">
        <f aca="false">F953*H953</f>
        <v>990.85</v>
      </c>
      <c r="M953" s="22" t="n">
        <f aca="false">L953-K953</f>
        <v>-452.87</v>
      </c>
    </row>
    <row r="954" customFormat="false" ht="15" hidden="false" customHeight="false" outlineLevel="0" collapsed="false">
      <c r="A954" s="21" t="s">
        <v>1123</v>
      </c>
      <c r="B954" s="21" t="s">
        <v>267</v>
      </c>
      <c r="C954" s="21" t="s">
        <v>148</v>
      </c>
      <c r="D954" s="21" t="s">
        <v>102</v>
      </c>
      <c r="E954" s="22" t="n">
        <v>74.17</v>
      </c>
      <c r="F954" s="22" t="n">
        <v>143.83</v>
      </c>
      <c r="G954" s="23" t="n">
        <v>489</v>
      </c>
      <c r="H954" s="23" t="n">
        <v>187</v>
      </c>
      <c r="I954" s="23" t="n">
        <f aca="false">G954-H954</f>
        <v>302</v>
      </c>
      <c r="J954" s="21" t="str">
        <f aca="false">IF(I954&lt;50,"LOW-IN-STOCK","IN-STOCK")</f>
        <v>IN-STOCK</v>
      </c>
      <c r="K954" s="22" t="n">
        <f aca="false">E954*G954</f>
        <v>36269.13</v>
      </c>
      <c r="L954" s="22" t="n">
        <f aca="false">F954*H954</f>
        <v>26896.21</v>
      </c>
      <c r="M954" s="22" t="n">
        <f aca="false">L954-K954</f>
        <v>-9372.92</v>
      </c>
    </row>
    <row r="955" customFormat="false" ht="15" hidden="false" customHeight="false" outlineLevel="0" collapsed="false">
      <c r="A955" s="21" t="s">
        <v>1124</v>
      </c>
      <c r="B955" s="21" t="s">
        <v>287</v>
      </c>
      <c r="C955" s="21" t="s">
        <v>87</v>
      </c>
      <c r="D955" s="21" t="s">
        <v>108</v>
      </c>
      <c r="E955" s="22" t="n">
        <v>12.12</v>
      </c>
      <c r="F955" s="22" t="n">
        <v>24.34</v>
      </c>
      <c r="G955" s="23" t="n">
        <v>293</v>
      </c>
      <c r="H955" s="23" t="n">
        <v>231</v>
      </c>
      <c r="I955" s="23" t="n">
        <f aca="false">G955-H955</f>
        <v>62</v>
      </c>
      <c r="J955" s="21" t="str">
        <f aca="false">IF(I955&lt;50,"LOW-IN-STOCK","IN-STOCK")</f>
        <v>IN-STOCK</v>
      </c>
      <c r="K955" s="22" t="n">
        <f aca="false">E955*G955</f>
        <v>3551.16</v>
      </c>
      <c r="L955" s="22" t="n">
        <f aca="false">F955*H955</f>
        <v>5622.54</v>
      </c>
      <c r="M955" s="22" t="n">
        <f aca="false">L955-K955</f>
        <v>2071.38</v>
      </c>
    </row>
    <row r="956" customFormat="false" ht="15" hidden="false" customHeight="false" outlineLevel="0" collapsed="false">
      <c r="A956" s="21" t="s">
        <v>1125</v>
      </c>
      <c r="B956" s="21" t="s">
        <v>276</v>
      </c>
      <c r="C956" s="21" t="s">
        <v>83</v>
      </c>
      <c r="D956" s="21" t="s">
        <v>114</v>
      </c>
      <c r="E956" s="22" t="n">
        <v>20.17</v>
      </c>
      <c r="F956" s="22" t="n">
        <v>41.49</v>
      </c>
      <c r="G956" s="23" t="n">
        <v>231</v>
      </c>
      <c r="H956" s="23" t="n">
        <v>155</v>
      </c>
      <c r="I956" s="23" t="n">
        <f aca="false">G956-H956</f>
        <v>76</v>
      </c>
      <c r="J956" s="21" t="str">
        <f aca="false">IF(I956&lt;50,"LOW-IN-STOCK","IN-STOCK")</f>
        <v>IN-STOCK</v>
      </c>
      <c r="K956" s="22" t="n">
        <f aca="false">E956*G956</f>
        <v>4659.27</v>
      </c>
      <c r="L956" s="22" t="n">
        <f aca="false">F956*H956</f>
        <v>6430.95</v>
      </c>
      <c r="M956" s="22" t="n">
        <f aca="false">L956-K956</f>
        <v>1771.68</v>
      </c>
    </row>
    <row r="957" customFormat="false" ht="15" hidden="false" customHeight="false" outlineLevel="0" collapsed="false">
      <c r="A957" s="21" t="s">
        <v>1126</v>
      </c>
      <c r="B957" s="21" t="s">
        <v>332</v>
      </c>
      <c r="C957" s="21" t="s">
        <v>107</v>
      </c>
      <c r="D957" s="21" t="s">
        <v>114</v>
      </c>
      <c r="E957" s="22" t="n">
        <v>10.05</v>
      </c>
      <c r="F957" s="22" t="n">
        <v>14.57</v>
      </c>
      <c r="G957" s="23" t="n">
        <v>197</v>
      </c>
      <c r="H957" s="23" t="n">
        <v>74</v>
      </c>
      <c r="I957" s="23" t="n">
        <f aca="false">G957-H957</f>
        <v>123</v>
      </c>
      <c r="J957" s="21" t="str">
        <f aca="false">IF(I957&lt;50,"LOW-IN-STOCK","IN-STOCK")</f>
        <v>IN-STOCK</v>
      </c>
      <c r="K957" s="22" t="n">
        <f aca="false">E957*G957</f>
        <v>1979.85</v>
      </c>
      <c r="L957" s="22" t="n">
        <f aca="false">F957*H957</f>
        <v>1078.18</v>
      </c>
      <c r="M957" s="22" t="n">
        <f aca="false">L957-K957</f>
        <v>-901.67</v>
      </c>
    </row>
    <row r="958" customFormat="false" ht="15" hidden="false" customHeight="false" outlineLevel="0" collapsed="false">
      <c r="A958" s="21" t="s">
        <v>1127</v>
      </c>
      <c r="B958" s="21" t="s">
        <v>319</v>
      </c>
      <c r="C958" s="21" t="s">
        <v>113</v>
      </c>
      <c r="D958" s="21" t="s">
        <v>99</v>
      </c>
      <c r="E958" s="22" t="n">
        <v>31.3</v>
      </c>
      <c r="F958" s="22" t="n">
        <v>41.23</v>
      </c>
      <c r="G958" s="23" t="n">
        <v>97</v>
      </c>
      <c r="H958" s="23" t="n">
        <v>61</v>
      </c>
      <c r="I958" s="23" t="n">
        <f aca="false">G958-H958</f>
        <v>36</v>
      </c>
      <c r="J958" s="21" t="str">
        <f aca="false">IF(I958&lt;50,"LOW-IN-STOCK","IN-STOCK")</f>
        <v>LOW-IN-STOCK</v>
      </c>
      <c r="K958" s="22" t="n">
        <f aca="false">E958*G958</f>
        <v>3036.1</v>
      </c>
      <c r="L958" s="22" t="n">
        <f aca="false">F958*H958</f>
        <v>2515.03</v>
      </c>
      <c r="M958" s="22" t="n">
        <f aca="false">L958-K958</f>
        <v>-521.07</v>
      </c>
    </row>
    <row r="959" customFormat="false" ht="15" hidden="false" customHeight="false" outlineLevel="0" collapsed="false">
      <c r="A959" s="21" t="s">
        <v>1128</v>
      </c>
      <c r="B959" s="21" t="s">
        <v>170</v>
      </c>
      <c r="C959" s="21" t="s">
        <v>87</v>
      </c>
      <c r="D959" s="21" t="s">
        <v>160</v>
      </c>
      <c r="E959" s="22" t="n">
        <v>24.57</v>
      </c>
      <c r="F959" s="22" t="n">
        <v>43.9</v>
      </c>
      <c r="G959" s="23" t="n">
        <v>289</v>
      </c>
      <c r="H959" s="23" t="n">
        <v>206</v>
      </c>
      <c r="I959" s="23" t="n">
        <f aca="false">G959-H959</f>
        <v>83</v>
      </c>
      <c r="J959" s="21" t="str">
        <f aca="false">IF(I959&lt;50,"LOW-IN-STOCK","IN-STOCK")</f>
        <v>IN-STOCK</v>
      </c>
      <c r="K959" s="22" t="n">
        <f aca="false">E959*G959</f>
        <v>7100.73</v>
      </c>
      <c r="L959" s="22" t="n">
        <f aca="false">F959*H959</f>
        <v>9043.4</v>
      </c>
      <c r="M959" s="22" t="n">
        <f aca="false">L959-K959</f>
        <v>1942.67</v>
      </c>
    </row>
    <row r="960" customFormat="false" ht="15" hidden="false" customHeight="false" outlineLevel="0" collapsed="false">
      <c r="A960" s="21" t="s">
        <v>1129</v>
      </c>
      <c r="B960" s="21" t="s">
        <v>306</v>
      </c>
      <c r="C960" s="21" t="s">
        <v>93</v>
      </c>
      <c r="D960" s="21" t="s">
        <v>99</v>
      </c>
      <c r="E960" s="22" t="n">
        <v>2.67</v>
      </c>
      <c r="F960" s="22" t="n">
        <v>5.83</v>
      </c>
      <c r="G960" s="23" t="n">
        <v>124</v>
      </c>
      <c r="H960" s="23" t="n">
        <v>77</v>
      </c>
      <c r="I960" s="23" t="n">
        <f aca="false">G960-H960</f>
        <v>47</v>
      </c>
      <c r="J960" s="21" t="str">
        <f aca="false">IF(I960&lt;50,"LOW-IN-STOCK","IN-STOCK")</f>
        <v>LOW-IN-STOCK</v>
      </c>
      <c r="K960" s="22" t="n">
        <f aca="false">E960*G960</f>
        <v>331.08</v>
      </c>
      <c r="L960" s="22" t="n">
        <f aca="false">F960*H960</f>
        <v>448.91</v>
      </c>
      <c r="M960" s="22" t="n">
        <f aca="false">L960-K960</f>
        <v>117.83</v>
      </c>
    </row>
    <row r="961" customFormat="false" ht="15" hidden="false" customHeight="false" outlineLevel="0" collapsed="false">
      <c r="A961" s="21" t="s">
        <v>1130</v>
      </c>
      <c r="B961" s="21" t="s">
        <v>239</v>
      </c>
      <c r="C961" s="21" t="s">
        <v>113</v>
      </c>
      <c r="D961" s="21" t="s">
        <v>80</v>
      </c>
      <c r="E961" s="22" t="n">
        <v>30.03</v>
      </c>
      <c r="F961" s="22" t="n">
        <v>45.62</v>
      </c>
      <c r="G961" s="23" t="n">
        <v>367</v>
      </c>
      <c r="H961" s="23" t="n">
        <v>244</v>
      </c>
      <c r="I961" s="23" t="n">
        <f aca="false">G961-H961</f>
        <v>123</v>
      </c>
      <c r="J961" s="21" t="str">
        <f aca="false">IF(I961&lt;50,"LOW-IN-STOCK","IN-STOCK")</f>
        <v>IN-STOCK</v>
      </c>
      <c r="K961" s="22" t="n">
        <f aca="false">E961*G961</f>
        <v>11021.01</v>
      </c>
      <c r="L961" s="22" t="n">
        <f aca="false">F961*H961</f>
        <v>11131.28</v>
      </c>
      <c r="M961" s="22" t="n">
        <f aca="false">L961-K961</f>
        <v>110.269999999999</v>
      </c>
    </row>
    <row r="962" customFormat="false" ht="15" hidden="false" customHeight="false" outlineLevel="0" collapsed="false">
      <c r="A962" s="21" t="s">
        <v>1131</v>
      </c>
      <c r="B962" s="21" t="s">
        <v>104</v>
      </c>
      <c r="C962" s="21" t="s">
        <v>75</v>
      </c>
      <c r="D962" s="21" t="s">
        <v>76</v>
      </c>
      <c r="E962" s="22" t="n">
        <v>26.83</v>
      </c>
      <c r="F962" s="22" t="n">
        <v>52.63</v>
      </c>
      <c r="G962" s="23" t="n">
        <v>358</v>
      </c>
      <c r="H962" s="23" t="n">
        <v>269</v>
      </c>
      <c r="I962" s="23" t="n">
        <f aca="false">G962-H962</f>
        <v>89</v>
      </c>
      <c r="J962" s="21" t="str">
        <f aca="false">IF(I962&lt;50,"LOW-IN-STOCK","IN-STOCK")</f>
        <v>IN-STOCK</v>
      </c>
      <c r="K962" s="22" t="n">
        <f aca="false">E962*G962</f>
        <v>9605.14</v>
      </c>
      <c r="L962" s="22" t="n">
        <f aca="false">F962*H962</f>
        <v>14157.47</v>
      </c>
      <c r="M962" s="22" t="n">
        <f aca="false">L962-K962</f>
        <v>4552.33</v>
      </c>
    </row>
    <row r="963" customFormat="false" ht="15" hidden="false" customHeight="false" outlineLevel="0" collapsed="false">
      <c r="A963" s="21" t="s">
        <v>1132</v>
      </c>
      <c r="B963" s="21" t="s">
        <v>308</v>
      </c>
      <c r="C963" s="21" t="s">
        <v>87</v>
      </c>
      <c r="D963" s="21" t="s">
        <v>76</v>
      </c>
      <c r="E963" s="22" t="n">
        <v>7.49</v>
      </c>
      <c r="F963" s="22" t="n">
        <v>13.35</v>
      </c>
      <c r="G963" s="23" t="n">
        <v>491</v>
      </c>
      <c r="H963" s="23" t="n">
        <v>237</v>
      </c>
      <c r="I963" s="23" t="n">
        <f aca="false">G963-H963</f>
        <v>254</v>
      </c>
      <c r="J963" s="21" t="str">
        <f aca="false">IF(I963&lt;50,"LOW-IN-STOCK","IN-STOCK")</f>
        <v>IN-STOCK</v>
      </c>
      <c r="K963" s="22" t="n">
        <f aca="false">E963*G963</f>
        <v>3677.59</v>
      </c>
      <c r="L963" s="22" t="n">
        <f aca="false">F963*H963</f>
        <v>3163.95</v>
      </c>
      <c r="M963" s="22" t="n">
        <f aca="false">L963-K963</f>
        <v>-513.64</v>
      </c>
    </row>
    <row r="964" customFormat="false" ht="15" hidden="false" customHeight="false" outlineLevel="0" collapsed="false">
      <c r="A964" s="21" t="s">
        <v>1133</v>
      </c>
      <c r="B964" s="21" t="s">
        <v>92</v>
      </c>
      <c r="C964" s="21" t="s">
        <v>93</v>
      </c>
      <c r="D964" s="21" t="s">
        <v>160</v>
      </c>
      <c r="E964" s="22" t="n">
        <v>3.31</v>
      </c>
      <c r="F964" s="22" t="n">
        <v>6.9</v>
      </c>
      <c r="G964" s="23" t="n">
        <v>401</v>
      </c>
      <c r="H964" s="23" t="n">
        <v>289</v>
      </c>
      <c r="I964" s="23" t="n">
        <f aca="false">G964-H964</f>
        <v>112</v>
      </c>
      <c r="J964" s="21" t="str">
        <f aca="false">IF(I964&lt;50,"LOW-IN-STOCK","IN-STOCK")</f>
        <v>IN-STOCK</v>
      </c>
      <c r="K964" s="22" t="n">
        <f aca="false">E964*G964</f>
        <v>1327.31</v>
      </c>
      <c r="L964" s="22" t="n">
        <f aca="false">F964*H964</f>
        <v>1994.1</v>
      </c>
      <c r="M964" s="22" t="n">
        <f aca="false">L964-K964</f>
        <v>666.79</v>
      </c>
    </row>
    <row r="965" customFormat="false" ht="15" hidden="false" customHeight="false" outlineLevel="0" collapsed="false">
      <c r="A965" s="21" t="s">
        <v>1134</v>
      </c>
      <c r="B965" s="21" t="s">
        <v>90</v>
      </c>
      <c r="C965" s="21" t="s">
        <v>75</v>
      </c>
      <c r="D965" s="21" t="s">
        <v>102</v>
      </c>
      <c r="E965" s="22" t="n">
        <v>10.82</v>
      </c>
      <c r="F965" s="22" t="n">
        <v>22.98</v>
      </c>
      <c r="G965" s="23" t="n">
        <v>57</v>
      </c>
      <c r="H965" s="23" t="n">
        <v>44</v>
      </c>
      <c r="I965" s="23" t="n">
        <f aca="false">G965-H965</f>
        <v>13</v>
      </c>
      <c r="J965" s="21" t="str">
        <f aca="false">IF(I965&lt;50,"LOW-IN-STOCK","IN-STOCK")</f>
        <v>LOW-IN-STOCK</v>
      </c>
      <c r="K965" s="22" t="n">
        <f aca="false">E965*G965</f>
        <v>616.74</v>
      </c>
      <c r="L965" s="22" t="n">
        <f aca="false">F965*H965</f>
        <v>1011.12</v>
      </c>
      <c r="M965" s="22" t="n">
        <f aca="false">L965-K965</f>
        <v>394.38</v>
      </c>
    </row>
    <row r="966" customFormat="false" ht="15" hidden="false" customHeight="false" outlineLevel="0" collapsed="false">
      <c r="A966" s="21" t="s">
        <v>1135</v>
      </c>
      <c r="B966" s="21" t="s">
        <v>216</v>
      </c>
      <c r="C966" s="21" t="s">
        <v>107</v>
      </c>
      <c r="D966" s="21" t="s">
        <v>88</v>
      </c>
      <c r="E966" s="22" t="n">
        <v>10.09</v>
      </c>
      <c r="F966" s="22" t="n">
        <v>21.09</v>
      </c>
      <c r="G966" s="23" t="n">
        <v>407</v>
      </c>
      <c r="H966" s="23" t="n">
        <v>218</v>
      </c>
      <c r="I966" s="23" t="n">
        <f aca="false">G966-H966</f>
        <v>189</v>
      </c>
      <c r="J966" s="21" t="str">
        <f aca="false">IF(I966&lt;50,"LOW-IN-STOCK","IN-STOCK")</f>
        <v>IN-STOCK</v>
      </c>
      <c r="K966" s="22" t="n">
        <f aca="false">E966*G966</f>
        <v>4106.63</v>
      </c>
      <c r="L966" s="22" t="n">
        <f aca="false">F966*H966</f>
        <v>4597.62</v>
      </c>
      <c r="M966" s="22" t="n">
        <f aca="false">L966-K966</f>
        <v>490.99</v>
      </c>
    </row>
    <row r="967" customFormat="false" ht="15" hidden="false" customHeight="false" outlineLevel="0" collapsed="false">
      <c r="A967" s="21" t="s">
        <v>1136</v>
      </c>
      <c r="B967" s="21" t="s">
        <v>78</v>
      </c>
      <c r="C967" s="21" t="s">
        <v>79</v>
      </c>
      <c r="D967" s="21" t="s">
        <v>80</v>
      </c>
      <c r="E967" s="22" t="n">
        <v>18.16</v>
      </c>
      <c r="F967" s="22" t="n">
        <v>30.72</v>
      </c>
      <c r="G967" s="23" t="n">
        <v>219</v>
      </c>
      <c r="H967" s="23" t="n">
        <v>151</v>
      </c>
      <c r="I967" s="23" t="n">
        <f aca="false">G967-H967</f>
        <v>68</v>
      </c>
      <c r="J967" s="21" t="str">
        <f aca="false">IF(I967&lt;50,"LOW-IN-STOCK","IN-STOCK")</f>
        <v>IN-STOCK</v>
      </c>
      <c r="K967" s="22" t="n">
        <f aca="false">E967*G967</f>
        <v>3977.04</v>
      </c>
      <c r="L967" s="22" t="n">
        <f aca="false">F967*H967</f>
        <v>4638.72</v>
      </c>
      <c r="M967" s="22" t="n">
        <f aca="false">L967-K967</f>
        <v>661.68</v>
      </c>
    </row>
    <row r="968" customFormat="false" ht="15" hidden="false" customHeight="false" outlineLevel="0" collapsed="false">
      <c r="A968" s="21" t="s">
        <v>1137</v>
      </c>
      <c r="B968" s="21" t="s">
        <v>141</v>
      </c>
      <c r="C968" s="21" t="s">
        <v>107</v>
      </c>
      <c r="D968" s="21" t="s">
        <v>137</v>
      </c>
      <c r="E968" s="22" t="n">
        <v>11.51</v>
      </c>
      <c r="F968" s="22" t="n">
        <v>19.61</v>
      </c>
      <c r="G968" s="23" t="n">
        <v>143</v>
      </c>
      <c r="H968" s="23" t="n">
        <v>46</v>
      </c>
      <c r="I968" s="23" t="n">
        <f aca="false">G968-H968</f>
        <v>97</v>
      </c>
      <c r="J968" s="21" t="str">
        <f aca="false">IF(I968&lt;50,"LOW-IN-STOCK","IN-STOCK")</f>
        <v>IN-STOCK</v>
      </c>
      <c r="K968" s="22" t="n">
        <f aca="false">E968*G968</f>
        <v>1645.93</v>
      </c>
      <c r="L968" s="22" t="n">
        <f aca="false">F968*H968</f>
        <v>902.06</v>
      </c>
      <c r="M968" s="22" t="n">
        <f aca="false">L968-K968</f>
        <v>-743.87</v>
      </c>
    </row>
    <row r="969" customFormat="false" ht="15" hidden="false" customHeight="false" outlineLevel="0" collapsed="false">
      <c r="A969" s="21" t="s">
        <v>1138</v>
      </c>
      <c r="B969" s="21" t="s">
        <v>166</v>
      </c>
      <c r="C969" s="21" t="s">
        <v>93</v>
      </c>
      <c r="D969" s="21" t="s">
        <v>137</v>
      </c>
      <c r="E969" s="22" t="n">
        <v>2.05</v>
      </c>
      <c r="F969" s="22" t="n">
        <v>2.68</v>
      </c>
      <c r="G969" s="23" t="n">
        <v>88</v>
      </c>
      <c r="H969" s="23" t="n">
        <v>21</v>
      </c>
      <c r="I969" s="23" t="n">
        <f aca="false">G969-H969</f>
        <v>67</v>
      </c>
      <c r="J969" s="21" t="str">
        <f aca="false">IF(I969&lt;50,"LOW-IN-STOCK","IN-STOCK")</f>
        <v>IN-STOCK</v>
      </c>
      <c r="K969" s="22" t="n">
        <f aca="false">E969*G969</f>
        <v>180.4</v>
      </c>
      <c r="L969" s="22" t="n">
        <f aca="false">F969*H969</f>
        <v>56.28</v>
      </c>
      <c r="M969" s="22" t="n">
        <f aca="false">L969-K969</f>
        <v>-124.12</v>
      </c>
    </row>
    <row r="970" customFormat="false" ht="15" hidden="false" customHeight="false" outlineLevel="0" collapsed="false">
      <c r="A970" s="21" t="s">
        <v>1139</v>
      </c>
      <c r="B970" s="21" t="s">
        <v>297</v>
      </c>
      <c r="C970" s="21" t="s">
        <v>107</v>
      </c>
      <c r="D970" s="21" t="s">
        <v>76</v>
      </c>
      <c r="E970" s="22" t="n">
        <v>8.65</v>
      </c>
      <c r="F970" s="22" t="n">
        <v>17.45</v>
      </c>
      <c r="G970" s="23" t="n">
        <v>467</v>
      </c>
      <c r="H970" s="23" t="n">
        <v>88</v>
      </c>
      <c r="I970" s="23" t="n">
        <f aca="false">G970-H970</f>
        <v>379</v>
      </c>
      <c r="J970" s="21" t="str">
        <f aca="false">IF(I970&lt;50,"LOW-IN-STOCK","IN-STOCK")</f>
        <v>IN-STOCK</v>
      </c>
      <c r="K970" s="22" t="n">
        <f aca="false">E970*G970</f>
        <v>4039.55</v>
      </c>
      <c r="L970" s="22" t="n">
        <f aca="false">F970*H970</f>
        <v>1535.6</v>
      </c>
      <c r="M970" s="22" t="n">
        <f aca="false">L970-K970</f>
        <v>-2503.95</v>
      </c>
    </row>
    <row r="971" customFormat="false" ht="15" hidden="false" customHeight="false" outlineLevel="0" collapsed="false">
      <c r="A971" s="21" t="s">
        <v>1140</v>
      </c>
      <c r="B971" s="21" t="s">
        <v>227</v>
      </c>
      <c r="C971" s="21" t="s">
        <v>148</v>
      </c>
      <c r="D971" s="21" t="s">
        <v>108</v>
      </c>
      <c r="E971" s="22" t="n">
        <v>65.02</v>
      </c>
      <c r="F971" s="22" t="n">
        <v>127.42</v>
      </c>
      <c r="G971" s="23" t="n">
        <v>116</v>
      </c>
      <c r="H971" s="23" t="n">
        <v>23</v>
      </c>
      <c r="I971" s="23" t="n">
        <f aca="false">G971-H971</f>
        <v>93</v>
      </c>
      <c r="J971" s="21" t="str">
        <f aca="false">IF(I971&lt;50,"LOW-IN-STOCK","IN-STOCK")</f>
        <v>IN-STOCK</v>
      </c>
      <c r="K971" s="22" t="n">
        <f aca="false">E971*G971</f>
        <v>7542.32</v>
      </c>
      <c r="L971" s="22" t="n">
        <f aca="false">F971*H971</f>
        <v>2930.66</v>
      </c>
      <c r="M971" s="22" t="n">
        <f aca="false">L971-K971</f>
        <v>-4611.66</v>
      </c>
    </row>
    <row r="972" customFormat="false" ht="15" hidden="false" customHeight="false" outlineLevel="0" collapsed="false">
      <c r="A972" s="21" t="s">
        <v>1141</v>
      </c>
      <c r="B972" s="21" t="s">
        <v>239</v>
      </c>
      <c r="C972" s="21" t="s">
        <v>113</v>
      </c>
      <c r="D972" s="21" t="s">
        <v>108</v>
      </c>
      <c r="E972" s="22" t="n">
        <v>11.13</v>
      </c>
      <c r="F972" s="22" t="n">
        <v>24.2</v>
      </c>
      <c r="G972" s="23" t="n">
        <v>475</v>
      </c>
      <c r="H972" s="23" t="n">
        <v>422</v>
      </c>
      <c r="I972" s="23" t="n">
        <f aca="false">G972-H972</f>
        <v>53</v>
      </c>
      <c r="J972" s="21" t="str">
        <f aca="false">IF(I972&lt;50,"LOW-IN-STOCK","IN-STOCK")</f>
        <v>IN-STOCK</v>
      </c>
      <c r="K972" s="22" t="n">
        <f aca="false">E972*G972</f>
        <v>5286.75</v>
      </c>
      <c r="L972" s="22" t="n">
        <f aca="false">F972*H972</f>
        <v>10212.4</v>
      </c>
      <c r="M972" s="22" t="n">
        <f aca="false">L972-K972</f>
        <v>4925.65</v>
      </c>
    </row>
    <row r="973" customFormat="false" ht="15" hidden="false" customHeight="false" outlineLevel="0" collapsed="false">
      <c r="A973" s="21" t="s">
        <v>1142</v>
      </c>
      <c r="B973" s="21" t="s">
        <v>150</v>
      </c>
      <c r="C973" s="21" t="s">
        <v>148</v>
      </c>
      <c r="D973" s="21" t="s">
        <v>114</v>
      </c>
      <c r="E973" s="22" t="n">
        <v>28.54</v>
      </c>
      <c r="F973" s="22" t="n">
        <v>41.86</v>
      </c>
      <c r="G973" s="23" t="n">
        <v>209</v>
      </c>
      <c r="H973" s="23" t="n">
        <v>45</v>
      </c>
      <c r="I973" s="23" t="n">
        <f aca="false">G973-H973</f>
        <v>164</v>
      </c>
      <c r="J973" s="21" t="str">
        <f aca="false">IF(I973&lt;50,"LOW-IN-STOCK","IN-STOCK")</f>
        <v>IN-STOCK</v>
      </c>
      <c r="K973" s="22" t="n">
        <f aca="false">E973*G973</f>
        <v>5964.86</v>
      </c>
      <c r="L973" s="22" t="n">
        <f aca="false">F973*H973</f>
        <v>1883.7</v>
      </c>
      <c r="M973" s="22" t="n">
        <f aca="false">L973-K973</f>
        <v>-4081.16</v>
      </c>
    </row>
    <row r="974" customFormat="false" ht="15" hidden="false" customHeight="false" outlineLevel="0" collapsed="false">
      <c r="A974" s="21" t="s">
        <v>1143</v>
      </c>
      <c r="B974" s="21" t="s">
        <v>411</v>
      </c>
      <c r="C974" s="21" t="s">
        <v>107</v>
      </c>
      <c r="D974" s="21" t="s">
        <v>80</v>
      </c>
      <c r="E974" s="22" t="n">
        <v>9.04</v>
      </c>
      <c r="F974" s="22" t="n">
        <v>13.11</v>
      </c>
      <c r="G974" s="23" t="n">
        <v>410</v>
      </c>
      <c r="H974" s="23" t="n">
        <v>119</v>
      </c>
      <c r="I974" s="23" t="n">
        <f aca="false">G974-H974</f>
        <v>291</v>
      </c>
      <c r="J974" s="21" t="str">
        <f aca="false">IF(I974&lt;50,"LOW-IN-STOCK","IN-STOCK")</f>
        <v>IN-STOCK</v>
      </c>
      <c r="K974" s="22" t="n">
        <f aca="false">E974*G974</f>
        <v>3706.4</v>
      </c>
      <c r="L974" s="22" t="n">
        <f aca="false">F974*H974</f>
        <v>1560.09</v>
      </c>
      <c r="M974" s="22" t="n">
        <f aca="false">L974-K974</f>
        <v>-2146.31</v>
      </c>
    </row>
    <row r="975" customFormat="false" ht="15" hidden="false" customHeight="false" outlineLevel="0" collapsed="false">
      <c r="A975" s="21" t="s">
        <v>1144</v>
      </c>
      <c r="B975" s="21" t="s">
        <v>147</v>
      </c>
      <c r="C975" s="21" t="s">
        <v>148</v>
      </c>
      <c r="D975" s="21" t="s">
        <v>114</v>
      </c>
      <c r="E975" s="22" t="n">
        <v>73.68</v>
      </c>
      <c r="F975" s="22" t="n">
        <v>145.51</v>
      </c>
      <c r="G975" s="23" t="n">
        <v>235</v>
      </c>
      <c r="H975" s="23" t="n">
        <v>88</v>
      </c>
      <c r="I975" s="23" t="n">
        <f aca="false">G975-H975</f>
        <v>147</v>
      </c>
      <c r="J975" s="21" t="str">
        <f aca="false">IF(I975&lt;50,"LOW-IN-STOCK","IN-STOCK")</f>
        <v>IN-STOCK</v>
      </c>
      <c r="K975" s="22" t="n">
        <f aca="false">E975*G975</f>
        <v>17314.8</v>
      </c>
      <c r="L975" s="22" t="n">
        <f aca="false">F975*H975</f>
        <v>12804.88</v>
      </c>
      <c r="M975" s="22" t="n">
        <f aca="false">L975-K975</f>
        <v>-4509.92</v>
      </c>
    </row>
    <row r="976" customFormat="false" ht="15" hidden="false" customHeight="false" outlineLevel="0" collapsed="false">
      <c r="A976" s="21" t="s">
        <v>1145</v>
      </c>
      <c r="B976" s="21" t="s">
        <v>466</v>
      </c>
      <c r="C976" s="21" t="s">
        <v>79</v>
      </c>
      <c r="D976" s="21" t="s">
        <v>76</v>
      </c>
      <c r="E976" s="22" t="n">
        <v>14.13</v>
      </c>
      <c r="F976" s="22" t="n">
        <v>18.79</v>
      </c>
      <c r="G976" s="23" t="n">
        <v>253</v>
      </c>
      <c r="H976" s="23" t="n">
        <v>215</v>
      </c>
      <c r="I976" s="23" t="n">
        <f aca="false">G976-H976</f>
        <v>38</v>
      </c>
      <c r="J976" s="21" t="str">
        <f aca="false">IF(I976&lt;50,"LOW-IN-STOCK","IN-STOCK")</f>
        <v>LOW-IN-STOCK</v>
      </c>
      <c r="K976" s="22" t="n">
        <f aca="false">E976*G976</f>
        <v>3574.89</v>
      </c>
      <c r="L976" s="22" t="n">
        <f aca="false">F976*H976</f>
        <v>4039.85</v>
      </c>
      <c r="M976" s="22" t="n">
        <f aca="false">L976-K976</f>
        <v>464.96</v>
      </c>
    </row>
    <row r="977" customFormat="false" ht="15" hidden="false" customHeight="false" outlineLevel="0" collapsed="false">
      <c r="A977" s="21" t="s">
        <v>1146</v>
      </c>
      <c r="B977" s="21" t="s">
        <v>134</v>
      </c>
      <c r="C977" s="21" t="s">
        <v>83</v>
      </c>
      <c r="D977" s="21" t="s">
        <v>108</v>
      </c>
      <c r="E977" s="22" t="n">
        <v>8.6</v>
      </c>
      <c r="F977" s="22" t="n">
        <v>18.34</v>
      </c>
      <c r="G977" s="23" t="n">
        <v>56</v>
      </c>
      <c r="H977" s="23" t="n">
        <v>8</v>
      </c>
      <c r="I977" s="23" t="n">
        <f aca="false">G977-H977</f>
        <v>48</v>
      </c>
      <c r="J977" s="21" t="str">
        <f aca="false">IF(I977&lt;50,"LOW-IN-STOCK","IN-STOCK")</f>
        <v>LOW-IN-STOCK</v>
      </c>
      <c r="K977" s="22" t="n">
        <f aca="false">E977*G977</f>
        <v>481.6</v>
      </c>
      <c r="L977" s="22" t="n">
        <f aca="false">F977*H977</f>
        <v>146.72</v>
      </c>
      <c r="M977" s="22" t="n">
        <f aca="false">L977-K977</f>
        <v>-334.88</v>
      </c>
    </row>
    <row r="978" customFormat="false" ht="15" hidden="false" customHeight="false" outlineLevel="0" collapsed="false">
      <c r="A978" s="21" t="s">
        <v>1147</v>
      </c>
      <c r="B978" s="21" t="s">
        <v>154</v>
      </c>
      <c r="C978" s="21" t="s">
        <v>93</v>
      </c>
      <c r="D978" s="21" t="s">
        <v>114</v>
      </c>
      <c r="E978" s="22" t="n">
        <v>5.19</v>
      </c>
      <c r="F978" s="22" t="n">
        <v>11.39</v>
      </c>
      <c r="G978" s="23" t="n">
        <v>233</v>
      </c>
      <c r="H978" s="23" t="n">
        <v>25</v>
      </c>
      <c r="I978" s="23" t="n">
        <f aca="false">G978-H978</f>
        <v>208</v>
      </c>
      <c r="J978" s="21" t="str">
        <f aca="false">IF(I978&lt;50,"LOW-IN-STOCK","IN-STOCK")</f>
        <v>IN-STOCK</v>
      </c>
      <c r="K978" s="22" t="n">
        <f aca="false">E978*G978</f>
        <v>1209.27</v>
      </c>
      <c r="L978" s="22" t="n">
        <f aca="false">F978*H978</f>
        <v>284.75</v>
      </c>
      <c r="M978" s="22" t="n">
        <f aca="false">L978-K978</f>
        <v>-924.52</v>
      </c>
    </row>
    <row r="979" customFormat="false" ht="15" hidden="false" customHeight="false" outlineLevel="0" collapsed="false">
      <c r="A979" s="21" t="s">
        <v>1148</v>
      </c>
      <c r="B979" s="21" t="s">
        <v>232</v>
      </c>
      <c r="C979" s="21" t="s">
        <v>79</v>
      </c>
      <c r="D979" s="21" t="s">
        <v>84</v>
      </c>
      <c r="E979" s="22" t="n">
        <v>7.7</v>
      </c>
      <c r="F979" s="22" t="n">
        <v>14.41</v>
      </c>
      <c r="G979" s="23" t="n">
        <v>37</v>
      </c>
      <c r="H979" s="23" t="n">
        <v>31</v>
      </c>
      <c r="I979" s="23" t="n">
        <f aca="false">G979-H979</f>
        <v>6</v>
      </c>
      <c r="J979" s="21" t="str">
        <f aca="false">IF(I979&lt;50,"LOW-IN-STOCK","IN-STOCK")</f>
        <v>LOW-IN-STOCK</v>
      </c>
      <c r="K979" s="22" t="n">
        <f aca="false">E979*G979</f>
        <v>284.9</v>
      </c>
      <c r="L979" s="22" t="n">
        <f aca="false">F979*H979</f>
        <v>446.71</v>
      </c>
      <c r="M979" s="22" t="n">
        <f aca="false">L979-K979</f>
        <v>161.81</v>
      </c>
    </row>
    <row r="980" customFormat="false" ht="15" hidden="false" customHeight="false" outlineLevel="0" collapsed="false">
      <c r="A980" s="21" t="s">
        <v>1149</v>
      </c>
      <c r="B980" s="21" t="s">
        <v>297</v>
      </c>
      <c r="C980" s="21" t="s">
        <v>107</v>
      </c>
      <c r="D980" s="21" t="s">
        <v>160</v>
      </c>
      <c r="E980" s="22" t="n">
        <v>12.87</v>
      </c>
      <c r="F980" s="22" t="n">
        <v>23.12</v>
      </c>
      <c r="G980" s="23" t="n">
        <v>377</v>
      </c>
      <c r="H980" s="23" t="n">
        <v>276</v>
      </c>
      <c r="I980" s="23" t="n">
        <f aca="false">G980-H980</f>
        <v>101</v>
      </c>
      <c r="J980" s="21" t="str">
        <f aca="false">IF(I980&lt;50,"LOW-IN-STOCK","IN-STOCK")</f>
        <v>IN-STOCK</v>
      </c>
      <c r="K980" s="22" t="n">
        <f aca="false">E980*G980</f>
        <v>4851.99</v>
      </c>
      <c r="L980" s="22" t="n">
        <f aca="false">F980*H980</f>
        <v>6381.12</v>
      </c>
      <c r="M980" s="22" t="n">
        <f aca="false">L980-K980</f>
        <v>1529.13</v>
      </c>
    </row>
    <row r="981" customFormat="false" ht="15" hidden="false" customHeight="false" outlineLevel="0" collapsed="false">
      <c r="A981" s="21" t="s">
        <v>1150</v>
      </c>
      <c r="B981" s="21" t="s">
        <v>174</v>
      </c>
      <c r="C981" s="21" t="s">
        <v>113</v>
      </c>
      <c r="D981" s="21" t="s">
        <v>88</v>
      </c>
      <c r="E981" s="22" t="n">
        <v>18.98</v>
      </c>
      <c r="F981" s="22" t="n">
        <v>33.95</v>
      </c>
      <c r="G981" s="23" t="n">
        <v>114</v>
      </c>
      <c r="H981" s="23" t="n">
        <v>34</v>
      </c>
      <c r="I981" s="23" t="n">
        <f aca="false">G981-H981</f>
        <v>80</v>
      </c>
      <c r="J981" s="21" t="str">
        <f aca="false">IF(I981&lt;50,"LOW-IN-STOCK","IN-STOCK")</f>
        <v>IN-STOCK</v>
      </c>
      <c r="K981" s="22" t="n">
        <f aca="false">E981*G981</f>
        <v>2163.72</v>
      </c>
      <c r="L981" s="22" t="n">
        <f aca="false">F981*H981</f>
        <v>1154.3</v>
      </c>
      <c r="M981" s="22" t="n">
        <f aca="false">L981-K981</f>
        <v>-1009.42</v>
      </c>
    </row>
    <row r="982" customFormat="false" ht="15" hidden="false" customHeight="false" outlineLevel="0" collapsed="false">
      <c r="A982" s="21" t="s">
        <v>1151</v>
      </c>
      <c r="B982" s="21" t="s">
        <v>166</v>
      </c>
      <c r="C982" s="21" t="s">
        <v>93</v>
      </c>
      <c r="D982" s="21" t="s">
        <v>76</v>
      </c>
      <c r="E982" s="22" t="n">
        <v>3.41</v>
      </c>
      <c r="F982" s="22" t="n">
        <v>6.3</v>
      </c>
      <c r="G982" s="23" t="n">
        <v>62</v>
      </c>
      <c r="H982" s="23" t="n">
        <v>9</v>
      </c>
      <c r="I982" s="23" t="n">
        <f aca="false">G982-H982</f>
        <v>53</v>
      </c>
      <c r="J982" s="21" t="str">
        <f aca="false">IF(I982&lt;50,"LOW-IN-STOCK","IN-STOCK")</f>
        <v>IN-STOCK</v>
      </c>
      <c r="K982" s="22" t="n">
        <f aca="false">E982*G982</f>
        <v>211.42</v>
      </c>
      <c r="L982" s="22" t="n">
        <f aca="false">F982*H982</f>
        <v>56.7</v>
      </c>
      <c r="M982" s="22" t="n">
        <f aca="false">L982-K982</f>
        <v>-154.72</v>
      </c>
    </row>
    <row r="983" customFormat="false" ht="15" hidden="false" customHeight="false" outlineLevel="0" collapsed="false">
      <c r="A983" s="21" t="s">
        <v>1152</v>
      </c>
      <c r="B983" s="21" t="s">
        <v>332</v>
      </c>
      <c r="C983" s="21" t="s">
        <v>107</v>
      </c>
      <c r="D983" s="21" t="s">
        <v>76</v>
      </c>
      <c r="E983" s="22" t="n">
        <v>5.76</v>
      </c>
      <c r="F983" s="22" t="n">
        <v>9.38</v>
      </c>
      <c r="G983" s="23" t="n">
        <v>308</v>
      </c>
      <c r="H983" s="23" t="n">
        <v>112</v>
      </c>
      <c r="I983" s="23" t="n">
        <f aca="false">G983-H983</f>
        <v>196</v>
      </c>
      <c r="J983" s="21" t="str">
        <f aca="false">IF(I983&lt;50,"LOW-IN-STOCK","IN-STOCK")</f>
        <v>IN-STOCK</v>
      </c>
      <c r="K983" s="22" t="n">
        <f aca="false">E983*G983</f>
        <v>1774.08</v>
      </c>
      <c r="L983" s="22" t="n">
        <f aca="false">F983*H983</f>
        <v>1050.56</v>
      </c>
      <c r="M983" s="22" t="n">
        <f aca="false">L983-K983</f>
        <v>-723.52</v>
      </c>
    </row>
    <row r="984" customFormat="false" ht="15" hidden="false" customHeight="false" outlineLevel="0" collapsed="false">
      <c r="A984" s="21" t="s">
        <v>1153</v>
      </c>
      <c r="B984" s="21" t="s">
        <v>466</v>
      </c>
      <c r="C984" s="21" t="s">
        <v>79</v>
      </c>
      <c r="D984" s="21" t="s">
        <v>76</v>
      </c>
      <c r="E984" s="22" t="n">
        <v>2.26</v>
      </c>
      <c r="F984" s="22" t="n">
        <v>4.51</v>
      </c>
      <c r="G984" s="23" t="n">
        <v>439</v>
      </c>
      <c r="H984" s="23" t="n">
        <v>261</v>
      </c>
      <c r="I984" s="23" t="n">
        <f aca="false">G984-H984</f>
        <v>178</v>
      </c>
      <c r="J984" s="21" t="str">
        <f aca="false">IF(I984&lt;50,"LOW-IN-STOCK","IN-STOCK")</f>
        <v>IN-STOCK</v>
      </c>
      <c r="K984" s="22" t="n">
        <f aca="false">E984*G984</f>
        <v>992.14</v>
      </c>
      <c r="L984" s="22" t="n">
        <f aca="false">F984*H984</f>
        <v>1177.11</v>
      </c>
      <c r="M984" s="22" t="n">
        <f aca="false">L984-K984</f>
        <v>184.97</v>
      </c>
    </row>
    <row r="985" customFormat="false" ht="15" hidden="false" customHeight="false" outlineLevel="0" collapsed="false">
      <c r="A985" s="21" t="s">
        <v>1154</v>
      </c>
      <c r="B985" s="21" t="s">
        <v>280</v>
      </c>
      <c r="C985" s="21" t="s">
        <v>83</v>
      </c>
      <c r="D985" s="21" t="s">
        <v>114</v>
      </c>
      <c r="E985" s="22" t="n">
        <v>10.71</v>
      </c>
      <c r="F985" s="22" t="n">
        <v>15.66</v>
      </c>
      <c r="G985" s="23" t="n">
        <v>273</v>
      </c>
      <c r="H985" s="23" t="n">
        <v>232</v>
      </c>
      <c r="I985" s="23" t="n">
        <f aca="false">G985-H985</f>
        <v>41</v>
      </c>
      <c r="J985" s="21" t="str">
        <f aca="false">IF(I985&lt;50,"LOW-IN-STOCK","IN-STOCK")</f>
        <v>LOW-IN-STOCK</v>
      </c>
      <c r="K985" s="22" t="n">
        <f aca="false">E985*G985</f>
        <v>2923.83</v>
      </c>
      <c r="L985" s="22" t="n">
        <f aca="false">F985*H985</f>
        <v>3633.12</v>
      </c>
      <c r="M985" s="22" t="n">
        <f aca="false">L985-K985</f>
        <v>709.29</v>
      </c>
    </row>
    <row r="986" customFormat="false" ht="15" hidden="false" customHeight="false" outlineLevel="0" collapsed="false">
      <c r="A986" s="21" t="s">
        <v>1155</v>
      </c>
      <c r="B986" s="21" t="s">
        <v>359</v>
      </c>
      <c r="C986" s="21" t="s">
        <v>75</v>
      </c>
      <c r="D986" s="21" t="s">
        <v>84</v>
      </c>
      <c r="E986" s="22" t="n">
        <v>2.66</v>
      </c>
      <c r="F986" s="22" t="n">
        <v>5.07</v>
      </c>
      <c r="G986" s="23" t="n">
        <v>150</v>
      </c>
      <c r="H986" s="23" t="n">
        <v>67</v>
      </c>
      <c r="I986" s="23" t="n">
        <f aca="false">G986-H986</f>
        <v>83</v>
      </c>
      <c r="J986" s="21" t="str">
        <f aca="false">IF(I986&lt;50,"LOW-IN-STOCK","IN-STOCK")</f>
        <v>IN-STOCK</v>
      </c>
      <c r="K986" s="22" t="n">
        <f aca="false">E986*G986</f>
        <v>399</v>
      </c>
      <c r="L986" s="22" t="n">
        <f aca="false">F986*H986</f>
        <v>339.69</v>
      </c>
      <c r="M986" s="22" t="n">
        <f aca="false">L986-K986</f>
        <v>-59.31</v>
      </c>
    </row>
    <row r="987" customFormat="false" ht="15" hidden="false" customHeight="false" outlineLevel="0" collapsed="false">
      <c r="A987" s="21" t="s">
        <v>1156</v>
      </c>
      <c r="B987" s="21" t="s">
        <v>106</v>
      </c>
      <c r="C987" s="21" t="s">
        <v>107</v>
      </c>
      <c r="D987" s="21" t="s">
        <v>137</v>
      </c>
      <c r="E987" s="22" t="n">
        <v>5.46</v>
      </c>
      <c r="F987" s="22" t="n">
        <v>10.76</v>
      </c>
      <c r="G987" s="23" t="n">
        <v>285</v>
      </c>
      <c r="H987" s="23" t="n">
        <v>48</v>
      </c>
      <c r="I987" s="23" t="n">
        <f aca="false">G987-H987</f>
        <v>237</v>
      </c>
      <c r="J987" s="21" t="str">
        <f aca="false">IF(I987&lt;50,"LOW-IN-STOCK","IN-STOCK")</f>
        <v>IN-STOCK</v>
      </c>
      <c r="K987" s="22" t="n">
        <f aca="false">E987*G987</f>
        <v>1556.1</v>
      </c>
      <c r="L987" s="22" t="n">
        <f aca="false">F987*H987</f>
        <v>516.48</v>
      </c>
      <c r="M987" s="22" t="n">
        <f aca="false">L987-K987</f>
        <v>-1039.62</v>
      </c>
    </row>
    <row r="988" customFormat="false" ht="15" hidden="false" customHeight="false" outlineLevel="0" collapsed="false">
      <c r="A988" s="21" t="s">
        <v>1157</v>
      </c>
      <c r="B988" s="21" t="s">
        <v>132</v>
      </c>
      <c r="C988" s="21" t="s">
        <v>87</v>
      </c>
      <c r="D988" s="21" t="s">
        <v>99</v>
      </c>
      <c r="E988" s="22" t="n">
        <v>9.4</v>
      </c>
      <c r="F988" s="22" t="n">
        <v>14.52</v>
      </c>
      <c r="G988" s="23" t="n">
        <v>154</v>
      </c>
      <c r="H988" s="23" t="n">
        <v>135</v>
      </c>
      <c r="I988" s="23" t="n">
        <f aca="false">G988-H988</f>
        <v>19</v>
      </c>
      <c r="J988" s="21" t="str">
        <f aca="false">IF(I988&lt;50,"LOW-IN-STOCK","IN-STOCK")</f>
        <v>LOW-IN-STOCK</v>
      </c>
      <c r="K988" s="22" t="n">
        <f aca="false">E988*G988</f>
        <v>1447.6</v>
      </c>
      <c r="L988" s="22" t="n">
        <f aca="false">F988*H988</f>
        <v>1960.2</v>
      </c>
      <c r="M988" s="22" t="n">
        <f aca="false">L988-K988</f>
        <v>512.6</v>
      </c>
    </row>
    <row r="989" customFormat="false" ht="15" hidden="false" customHeight="false" outlineLevel="0" collapsed="false">
      <c r="A989" s="21" t="s">
        <v>1158</v>
      </c>
      <c r="B989" s="21" t="s">
        <v>82</v>
      </c>
      <c r="C989" s="21" t="s">
        <v>83</v>
      </c>
      <c r="D989" s="21" t="s">
        <v>137</v>
      </c>
      <c r="E989" s="22" t="n">
        <v>20.06</v>
      </c>
      <c r="F989" s="22" t="n">
        <v>40.63</v>
      </c>
      <c r="G989" s="23" t="n">
        <v>313</v>
      </c>
      <c r="H989" s="23" t="n">
        <v>89</v>
      </c>
      <c r="I989" s="23" t="n">
        <f aca="false">G989-H989</f>
        <v>224</v>
      </c>
      <c r="J989" s="21" t="str">
        <f aca="false">IF(I989&lt;50,"LOW-IN-STOCK","IN-STOCK")</f>
        <v>IN-STOCK</v>
      </c>
      <c r="K989" s="22" t="n">
        <f aca="false">E989*G989</f>
        <v>6278.78</v>
      </c>
      <c r="L989" s="22" t="n">
        <f aca="false">F989*H989</f>
        <v>3616.07</v>
      </c>
      <c r="M989" s="22" t="n">
        <f aca="false">L989-K989</f>
        <v>-2662.71</v>
      </c>
    </row>
    <row r="990" customFormat="false" ht="15" hidden="false" customHeight="false" outlineLevel="0" collapsed="false">
      <c r="A990" s="21" t="s">
        <v>1159</v>
      </c>
      <c r="B990" s="21" t="s">
        <v>466</v>
      </c>
      <c r="C990" s="21" t="s">
        <v>79</v>
      </c>
      <c r="D990" s="21" t="s">
        <v>84</v>
      </c>
      <c r="E990" s="22" t="n">
        <v>7.78</v>
      </c>
      <c r="F990" s="22" t="n">
        <v>11.35</v>
      </c>
      <c r="G990" s="23" t="n">
        <v>398</v>
      </c>
      <c r="H990" s="23" t="n">
        <v>230</v>
      </c>
      <c r="I990" s="23" t="n">
        <f aca="false">G990-H990</f>
        <v>168</v>
      </c>
      <c r="J990" s="21" t="str">
        <f aca="false">IF(I990&lt;50,"LOW-IN-STOCK","IN-STOCK")</f>
        <v>IN-STOCK</v>
      </c>
      <c r="K990" s="22" t="n">
        <f aca="false">E990*G990</f>
        <v>3096.44</v>
      </c>
      <c r="L990" s="22" t="n">
        <f aca="false">F990*H990</f>
        <v>2610.5</v>
      </c>
      <c r="M990" s="22" t="n">
        <f aca="false">L990-K990</f>
        <v>-485.94</v>
      </c>
    </row>
    <row r="991" customFormat="false" ht="15" hidden="false" customHeight="false" outlineLevel="0" collapsed="false">
      <c r="A991" s="21" t="s">
        <v>1160</v>
      </c>
      <c r="B991" s="21" t="s">
        <v>216</v>
      </c>
      <c r="C991" s="21" t="s">
        <v>107</v>
      </c>
      <c r="D991" s="21" t="s">
        <v>99</v>
      </c>
      <c r="E991" s="22" t="n">
        <v>12.46</v>
      </c>
      <c r="F991" s="22" t="n">
        <v>20.79</v>
      </c>
      <c r="G991" s="23" t="n">
        <v>49</v>
      </c>
      <c r="H991" s="23" t="n">
        <v>30</v>
      </c>
      <c r="I991" s="23" t="n">
        <f aca="false">G991-H991</f>
        <v>19</v>
      </c>
      <c r="J991" s="21" t="str">
        <f aca="false">IF(I991&lt;50,"LOW-IN-STOCK","IN-STOCK")</f>
        <v>LOW-IN-STOCK</v>
      </c>
      <c r="K991" s="22" t="n">
        <f aca="false">E991*G991</f>
        <v>610.54</v>
      </c>
      <c r="L991" s="22" t="n">
        <f aca="false">F991*H991</f>
        <v>623.7</v>
      </c>
      <c r="M991" s="22" t="n">
        <f aca="false">L991-K991</f>
        <v>13.1599999999999</v>
      </c>
    </row>
    <row r="992" customFormat="false" ht="15" hidden="false" customHeight="false" outlineLevel="0" collapsed="false">
      <c r="A992" s="21" t="s">
        <v>1161</v>
      </c>
      <c r="B992" s="21" t="s">
        <v>95</v>
      </c>
      <c r="C992" s="21" t="s">
        <v>75</v>
      </c>
      <c r="D992" s="21" t="s">
        <v>114</v>
      </c>
      <c r="E992" s="22" t="n">
        <v>9.05</v>
      </c>
      <c r="F992" s="22" t="n">
        <v>19.52</v>
      </c>
      <c r="G992" s="23" t="n">
        <v>328</v>
      </c>
      <c r="H992" s="23" t="n">
        <v>233</v>
      </c>
      <c r="I992" s="23" t="n">
        <f aca="false">G992-H992</f>
        <v>95</v>
      </c>
      <c r="J992" s="21" t="str">
        <f aca="false">IF(I992&lt;50,"LOW-IN-STOCK","IN-STOCK")</f>
        <v>IN-STOCK</v>
      </c>
      <c r="K992" s="22" t="n">
        <f aca="false">E992*G992</f>
        <v>2968.4</v>
      </c>
      <c r="L992" s="22" t="n">
        <f aca="false">F992*H992</f>
        <v>4548.16</v>
      </c>
      <c r="M992" s="22" t="n">
        <f aca="false">L992-K992</f>
        <v>1579.76</v>
      </c>
    </row>
    <row r="993" customFormat="false" ht="15" hidden="false" customHeight="false" outlineLevel="0" collapsed="false">
      <c r="A993" s="21" t="s">
        <v>1162</v>
      </c>
      <c r="B993" s="21" t="s">
        <v>129</v>
      </c>
      <c r="C993" s="21" t="s">
        <v>83</v>
      </c>
      <c r="D993" s="21" t="s">
        <v>88</v>
      </c>
      <c r="E993" s="22" t="n">
        <v>13.18</v>
      </c>
      <c r="F993" s="22" t="n">
        <v>19.72</v>
      </c>
      <c r="G993" s="23" t="n">
        <v>379</v>
      </c>
      <c r="H993" s="23" t="n">
        <v>161</v>
      </c>
      <c r="I993" s="23" t="n">
        <f aca="false">G993-H993</f>
        <v>218</v>
      </c>
      <c r="J993" s="21" t="str">
        <f aca="false">IF(I993&lt;50,"LOW-IN-STOCK","IN-STOCK")</f>
        <v>IN-STOCK</v>
      </c>
      <c r="K993" s="22" t="n">
        <f aca="false">E993*G993</f>
        <v>4995.22</v>
      </c>
      <c r="L993" s="22" t="n">
        <f aca="false">F993*H993</f>
        <v>3174.92</v>
      </c>
      <c r="M993" s="22" t="n">
        <f aca="false">L993-K993</f>
        <v>-1820.3</v>
      </c>
    </row>
    <row r="994" customFormat="false" ht="15" hidden="false" customHeight="false" outlineLevel="0" collapsed="false">
      <c r="A994" s="21" t="s">
        <v>1163</v>
      </c>
      <c r="B994" s="21" t="s">
        <v>132</v>
      </c>
      <c r="C994" s="21" t="s">
        <v>87</v>
      </c>
      <c r="D994" s="21" t="s">
        <v>84</v>
      </c>
      <c r="E994" s="22" t="n">
        <v>11.68</v>
      </c>
      <c r="F994" s="22" t="n">
        <v>19.76</v>
      </c>
      <c r="G994" s="23" t="n">
        <v>355</v>
      </c>
      <c r="H994" s="23" t="n">
        <v>176</v>
      </c>
      <c r="I994" s="23" t="n">
        <f aca="false">G994-H994</f>
        <v>179</v>
      </c>
      <c r="J994" s="21" t="str">
        <f aca="false">IF(I994&lt;50,"LOW-IN-STOCK","IN-STOCK")</f>
        <v>IN-STOCK</v>
      </c>
      <c r="K994" s="22" t="n">
        <f aca="false">E994*G994</f>
        <v>4146.4</v>
      </c>
      <c r="L994" s="22" t="n">
        <f aca="false">F994*H994</f>
        <v>3477.76</v>
      </c>
      <c r="M994" s="22" t="n">
        <f aca="false">L994-K994</f>
        <v>-668.639999999999</v>
      </c>
    </row>
    <row r="995" customFormat="false" ht="15" hidden="false" customHeight="false" outlineLevel="0" collapsed="false">
      <c r="A995" s="21" t="s">
        <v>1164</v>
      </c>
      <c r="B995" s="21" t="s">
        <v>447</v>
      </c>
      <c r="C995" s="21" t="s">
        <v>148</v>
      </c>
      <c r="D995" s="21" t="s">
        <v>76</v>
      </c>
      <c r="E995" s="22" t="n">
        <v>40.42</v>
      </c>
      <c r="F995" s="22" t="n">
        <v>82.35</v>
      </c>
      <c r="G995" s="23" t="n">
        <v>51</v>
      </c>
      <c r="H995" s="23" t="n">
        <v>17</v>
      </c>
      <c r="I995" s="23" t="n">
        <f aca="false">G995-H995</f>
        <v>34</v>
      </c>
      <c r="J995" s="21" t="str">
        <f aca="false">IF(I995&lt;50,"LOW-IN-STOCK","IN-STOCK")</f>
        <v>LOW-IN-STOCK</v>
      </c>
      <c r="K995" s="22" t="n">
        <f aca="false">E995*G995</f>
        <v>2061.42</v>
      </c>
      <c r="L995" s="22" t="n">
        <f aca="false">F995*H995</f>
        <v>1399.95</v>
      </c>
      <c r="M995" s="22" t="n">
        <f aca="false">L995-K995</f>
        <v>-661.47</v>
      </c>
    </row>
    <row r="996" customFormat="false" ht="15" hidden="false" customHeight="false" outlineLevel="0" collapsed="false">
      <c r="A996" s="21" t="s">
        <v>1165</v>
      </c>
      <c r="B996" s="21" t="s">
        <v>112</v>
      </c>
      <c r="C996" s="21" t="s">
        <v>113</v>
      </c>
      <c r="D996" s="21" t="s">
        <v>137</v>
      </c>
      <c r="E996" s="22" t="n">
        <v>8.01</v>
      </c>
      <c r="F996" s="22" t="n">
        <v>10.74</v>
      </c>
      <c r="G996" s="23" t="n">
        <v>451</v>
      </c>
      <c r="H996" s="23" t="n">
        <v>206</v>
      </c>
      <c r="I996" s="23" t="n">
        <f aca="false">G996-H996</f>
        <v>245</v>
      </c>
      <c r="J996" s="21" t="str">
        <f aca="false">IF(I996&lt;50,"LOW-IN-STOCK","IN-STOCK")</f>
        <v>IN-STOCK</v>
      </c>
      <c r="K996" s="22" t="n">
        <f aca="false">E996*G996</f>
        <v>3612.51</v>
      </c>
      <c r="L996" s="22" t="n">
        <f aca="false">F996*H996</f>
        <v>2212.44</v>
      </c>
      <c r="M996" s="22" t="n">
        <f aca="false">L996-K996</f>
        <v>-1400.07</v>
      </c>
    </row>
    <row r="997" customFormat="false" ht="15" hidden="false" customHeight="false" outlineLevel="0" collapsed="false">
      <c r="A997" s="21" t="s">
        <v>1166</v>
      </c>
      <c r="B997" s="21" t="s">
        <v>145</v>
      </c>
      <c r="C997" s="21" t="s">
        <v>87</v>
      </c>
      <c r="D997" s="21" t="s">
        <v>99</v>
      </c>
      <c r="E997" s="22" t="n">
        <v>14.4</v>
      </c>
      <c r="F997" s="22" t="n">
        <v>19.26</v>
      </c>
      <c r="G997" s="23" t="n">
        <v>25</v>
      </c>
      <c r="H997" s="23" t="n">
        <v>12</v>
      </c>
      <c r="I997" s="23" t="n">
        <f aca="false">G997-H997</f>
        <v>13</v>
      </c>
      <c r="J997" s="21" t="str">
        <f aca="false">IF(I997&lt;50,"LOW-IN-STOCK","IN-STOCK")</f>
        <v>LOW-IN-STOCK</v>
      </c>
      <c r="K997" s="22" t="n">
        <f aca="false">E997*G997</f>
        <v>360</v>
      </c>
      <c r="L997" s="22" t="n">
        <f aca="false">F997*H997</f>
        <v>231.12</v>
      </c>
      <c r="M997" s="22" t="n">
        <f aca="false">L997-K997</f>
        <v>-128.88</v>
      </c>
    </row>
    <row r="998" customFormat="false" ht="15" hidden="false" customHeight="false" outlineLevel="0" collapsed="false">
      <c r="A998" s="21" t="s">
        <v>1167</v>
      </c>
      <c r="B998" s="21" t="s">
        <v>122</v>
      </c>
      <c r="C998" s="21" t="s">
        <v>75</v>
      </c>
      <c r="D998" s="21" t="s">
        <v>114</v>
      </c>
      <c r="E998" s="22" t="n">
        <v>3.64</v>
      </c>
      <c r="F998" s="22" t="n">
        <v>5.04</v>
      </c>
      <c r="G998" s="23" t="n">
        <v>175</v>
      </c>
      <c r="H998" s="23" t="n">
        <v>96</v>
      </c>
      <c r="I998" s="23" t="n">
        <f aca="false">G998-H998</f>
        <v>79</v>
      </c>
      <c r="J998" s="21" t="str">
        <f aca="false">IF(I998&lt;50,"LOW-IN-STOCK","IN-STOCK")</f>
        <v>IN-STOCK</v>
      </c>
      <c r="K998" s="22" t="n">
        <f aca="false">E998*G998</f>
        <v>637</v>
      </c>
      <c r="L998" s="22" t="n">
        <f aca="false">F998*H998</f>
        <v>483.84</v>
      </c>
      <c r="M998" s="22" t="n">
        <f aca="false">L998-K998</f>
        <v>-153.16</v>
      </c>
    </row>
    <row r="999" customFormat="false" ht="15" hidden="false" customHeight="false" outlineLevel="0" collapsed="false">
      <c r="A999" s="21" t="s">
        <v>1168</v>
      </c>
      <c r="B999" s="21" t="s">
        <v>204</v>
      </c>
      <c r="C999" s="21" t="s">
        <v>148</v>
      </c>
      <c r="D999" s="21" t="s">
        <v>76</v>
      </c>
      <c r="E999" s="22" t="n">
        <v>13.85</v>
      </c>
      <c r="F999" s="22" t="n">
        <v>21.3</v>
      </c>
      <c r="G999" s="23" t="n">
        <v>147</v>
      </c>
      <c r="H999" s="23" t="n">
        <v>66</v>
      </c>
      <c r="I999" s="23" t="n">
        <f aca="false">G999-H999</f>
        <v>81</v>
      </c>
      <c r="J999" s="21" t="str">
        <f aca="false">IF(I999&lt;50,"LOW-IN-STOCK","IN-STOCK")</f>
        <v>IN-STOCK</v>
      </c>
      <c r="K999" s="22" t="n">
        <f aca="false">E999*G999</f>
        <v>2035.95</v>
      </c>
      <c r="L999" s="22" t="n">
        <f aca="false">F999*H999</f>
        <v>1405.8</v>
      </c>
      <c r="M999" s="22" t="n">
        <f aca="false">L999-K999</f>
        <v>-630.15</v>
      </c>
    </row>
    <row r="1000" customFormat="false" ht="15" hidden="false" customHeight="false" outlineLevel="0" collapsed="false">
      <c r="A1000" s="21" t="s">
        <v>1169</v>
      </c>
      <c r="B1000" s="21" t="s">
        <v>466</v>
      </c>
      <c r="C1000" s="21" t="s">
        <v>79</v>
      </c>
      <c r="D1000" s="21" t="s">
        <v>88</v>
      </c>
      <c r="E1000" s="22" t="n">
        <v>17.47</v>
      </c>
      <c r="F1000" s="22" t="n">
        <v>24.42</v>
      </c>
      <c r="G1000" s="23" t="n">
        <v>144</v>
      </c>
      <c r="H1000" s="23" t="n">
        <v>124</v>
      </c>
      <c r="I1000" s="23" t="n">
        <f aca="false">G1000-H1000</f>
        <v>20</v>
      </c>
      <c r="J1000" s="21" t="str">
        <f aca="false">IF(I1000&lt;50,"LOW-IN-STOCK","IN-STOCK")</f>
        <v>LOW-IN-STOCK</v>
      </c>
      <c r="K1000" s="22" t="n">
        <f aca="false">E1000*G1000</f>
        <v>2515.68</v>
      </c>
      <c r="L1000" s="22" t="n">
        <f aca="false">F1000*H1000</f>
        <v>3028.08</v>
      </c>
      <c r="M1000" s="22" t="n">
        <f aca="false">L1000-K1000</f>
        <v>512.400000000001</v>
      </c>
    </row>
    <row r="1001" customFormat="false" ht="15" hidden="false" customHeight="false" outlineLevel="0" collapsed="false">
      <c r="A1001" s="21" t="s">
        <v>1170</v>
      </c>
      <c r="B1001" s="21" t="s">
        <v>213</v>
      </c>
      <c r="C1001" s="21" t="s">
        <v>87</v>
      </c>
      <c r="D1001" s="21" t="s">
        <v>160</v>
      </c>
      <c r="E1001" s="22" t="n">
        <v>2.58</v>
      </c>
      <c r="F1001" s="22" t="n">
        <v>5.05</v>
      </c>
      <c r="G1001" s="23" t="n">
        <v>134</v>
      </c>
      <c r="H1001" s="23" t="n">
        <v>78</v>
      </c>
      <c r="I1001" s="23" t="n">
        <f aca="false">G1001-H1001</f>
        <v>56</v>
      </c>
      <c r="J1001" s="21" t="str">
        <f aca="false">IF(I1001&lt;50,"LOW-IN-STOCK","IN-STOCK")</f>
        <v>IN-STOCK</v>
      </c>
      <c r="K1001" s="22" t="n">
        <f aca="false">E1001*G1001</f>
        <v>345.72</v>
      </c>
      <c r="L1001" s="22" t="n">
        <f aca="false">F1001*H1001</f>
        <v>393.9</v>
      </c>
      <c r="M1001" s="22" t="n">
        <f aca="false">L1001-K1001</f>
        <v>48.18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2.8" customHeight="false"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2.8" customHeight="false"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6" activeCellId="0" sqref="H16"/>
    </sheetView>
  </sheetViews>
  <sheetFormatPr defaultColWidth="10.16015625" defaultRowHeight="12.8" customHeight="false"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2026-09-01T06:24:19Z</dcterms:created>
  <dc:creator>openpyxl</dc:creator>
  <dc:description/>
  <dc:language>en-US</dc:language>
  <cp:lastModifiedBy/>
  <dcterms:modified xsi:type="dcterms:W3CDTF">2026-09-01T08:01:46Z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